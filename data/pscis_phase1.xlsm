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llan\OneDrive\New_Graph\Current\2020-025_cwf_elk\scripts\fish_passage_elk_2020_reporting_cwf\data\"/>
    </mc:Choice>
  </mc:AlternateContent>
  <xr:revisionPtr revIDLastSave="0" documentId="13_ncr:1_{DEA20882-7FD9-459B-BE9A-BFF41E2A876B}" xr6:coauthVersionLast="46" xr6:coauthVersionMax="46" xr10:uidLastSave="{00000000-0000-0000-0000-000000000000}"/>
  <bookViews>
    <workbookView xWindow="-120" yWindow="-120" windowWidth="29040" windowHeight="15840"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7" i="2"/>
  <c r="AM51" i="2"/>
  <c r="AM48" i="2"/>
  <c r="AM36" i="2"/>
  <c r="AM29" i="2"/>
  <c r="AM28" i="2"/>
  <c r="AM25" i="2"/>
  <c r="AM24" i="2"/>
  <c r="AM21" i="2"/>
  <c r="AM20" i="2"/>
  <c r="AJ5283" i="2"/>
  <c r="AI5283" i="2"/>
  <c r="AH5283" i="2"/>
  <c r="AG5283" i="2"/>
  <c r="AF5283" i="2"/>
  <c r="AK5283" i="2" s="1"/>
  <c r="AJ5282" i="2"/>
  <c r="AI5282" i="2"/>
  <c r="AH5282" i="2"/>
  <c r="AG5282" i="2"/>
  <c r="AL5282" i="2" s="1"/>
  <c r="AF5282" i="2"/>
  <c r="AK5282" i="2" s="1"/>
  <c r="AJ5281" i="2"/>
  <c r="AI5281" i="2"/>
  <c r="AH5281" i="2"/>
  <c r="AG5281" i="2"/>
  <c r="AF5281" i="2"/>
  <c r="AK5281" i="2"/>
  <c r="AJ5280" i="2"/>
  <c r="AI5280" i="2"/>
  <c r="AH5280" i="2"/>
  <c r="AG5280" i="2"/>
  <c r="AF5280" i="2"/>
  <c r="AK5280" i="2" s="1"/>
  <c r="AL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L5260" i="2" s="1"/>
  <c r="AF5260" i="2"/>
  <c r="AK5260" i="2" s="1"/>
  <c r="AJ5259" i="2"/>
  <c r="AI5259" i="2"/>
  <c r="AH5259" i="2"/>
  <c r="AG5259" i="2"/>
  <c r="AF5259" i="2"/>
  <c r="AK5259" i="2"/>
  <c r="AJ5258" i="2"/>
  <c r="AI5258" i="2"/>
  <c r="AH5258" i="2"/>
  <c r="AG5258" i="2"/>
  <c r="AL5258" i="2" s="1"/>
  <c r="AF5258" i="2"/>
  <c r="AK5258" i="2" s="1"/>
  <c r="AJ5257" i="2"/>
  <c r="AI5257" i="2"/>
  <c r="AH5257" i="2"/>
  <c r="AG5257" i="2"/>
  <c r="AF5257" i="2"/>
  <c r="AK5257" i="2"/>
  <c r="AJ5256" i="2"/>
  <c r="AI5256" i="2"/>
  <c r="AH5256" i="2"/>
  <c r="AG5256" i="2"/>
  <c r="AF5256" i="2"/>
  <c r="AK5256" i="2" s="1"/>
  <c r="AL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L5236" i="2" s="1"/>
  <c r="AF5236" i="2"/>
  <c r="AK5236" i="2" s="1"/>
  <c r="AJ5235" i="2"/>
  <c r="AI5235" i="2"/>
  <c r="AH5235" i="2"/>
  <c r="AG5235" i="2"/>
  <c r="AF5235" i="2"/>
  <c r="AK5235" i="2"/>
  <c r="AJ5234" i="2"/>
  <c r="AI5234" i="2"/>
  <c r="AH5234" i="2"/>
  <c r="AG5234" i="2"/>
  <c r="AL5234" i="2" s="1"/>
  <c r="AF5234" i="2"/>
  <c r="AK5234" i="2" s="1"/>
  <c r="AJ5233" i="2"/>
  <c r="AI5233" i="2"/>
  <c r="AH5233" i="2"/>
  <c r="AG5233" i="2"/>
  <c r="AF5233" i="2"/>
  <c r="AK5233" i="2"/>
  <c r="AJ5232" i="2"/>
  <c r="AI5232" i="2"/>
  <c r="AH5232" i="2"/>
  <c r="AG5232" i="2"/>
  <c r="AF5232" i="2"/>
  <c r="AK5232" i="2" s="1"/>
  <c r="AL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L5166" i="2" s="1"/>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G5131" i="2"/>
  <c r="AF5131" i="2"/>
  <c r="AK5131" i="2" s="1"/>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L5118" i="2" s="1"/>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s="1"/>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c r="AJ5056" i="2"/>
  <c r="AI5056" i="2"/>
  <c r="AH5056" i="2"/>
  <c r="AG5056" i="2"/>
  <c r="AF5056" i="2"/>
  <c r="AK5056" i="2" s="1"/>
  <c r="AJ5055" i="2"/>
  <c r="AI5055" i="2"/>
  <c r="AH5055" i="2"/>
  <c r="AG5055" i="2"/>
  <c r="AF5055" i="2"/>
  <c r="AK5055" i="2" s="1"/>
  <c r="AL5055" i="2" s="1"/>
  <c r="AJ5054" i="2"/>
  <c r="AI5054" i="2"/>
  <c r="AH5054" i="2"/>
  <c r="AG5054" i="2"/>
  <c r="AF5054" i="2"/>
  <c r="AK5054" i="2" s="1"/>
  <c r="AJ5053" i="2"/>
  <c r="AI5053" i="2"/>
  <c r="AH5053" i="2"/>
  <c r="AG5053" i="2"/>
  <c r="AF5053" i="2"/>
  <c r="AK5053" i="2"/>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s="1"/>
  <c r="AJ5027" i="2"/>
  <c r="AI5027" i="2"/>
  <c r="AL5027" i="2" s="1"/>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L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L65" i="2" s="1"/>
  <c r="AM65" i="2" s="1"/>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c r="AG70" i="2"/>
  <c r="AH70" i="2"/>
  <c r="AI70" i="2"/>
  <c r="AJ70" i="2"/>
  <c r="AF71" i="2"/>
  <c r="AK71" i="2" s="1"/>
  <c r="AL71" i="2" s="1"/>
  <c r="AG71" i="2"/>
  <c r="AH71" i="2"/>
  <c r="AI71" i="2"/>
  <c r="AJ71" i="2"/>
  <c r="AF72" i="2"/>
  <c r="AK72" i="2"/>
  <c r="AG72" i="2"/>
  <c r="AH72" i="2"/>
  <c r="AI72" i="2"/>
  <c r="AJ72" i="2"/>
  <c r="AF73" i="2"/>
  <c r="AK73" i="2" s="1"/>
  <c r="AL73" i="2" s="1"/>
  <c r="AG73" i="2"/>
  <c r="AH73" i="2"/>
  <c r="AI73" i="2"/>
  <c r="AJ73" i="2"/>
  <c r="AF74" i="2"/>
  <c r="AK74" i="2"/>
  <c r="AG74" i="2"/>
  <c r="AH74" i="2"/>
  <c r="AI74" i="2"/>
  <c r="AJ74" i="2"/>
  <c r="AF75" i="2"/>
  <c r="AK75" i="2" s="1"/>
  <c r="AG75" i="2"/>
  <c r="AH75" i="2"/>
  <c r="AI75" i="2"/>
  <c r="AJ75" i="2"/>
  <c r="AF76" i="2"/>
  <c r="AK76" i="2"/>
  <c r="AG76" i="2"/>
  <c r="AH76" i="2"/>
  <c r="AI76" i="2"/>
  <c r="AJ76" i="2"/>
  <c r="AF77" i="2"/>
  <c r="AK77" i="2" s="1"/>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s="1"/>
  <c r="AL95" i="2" s="1"/>
  <c r="AG95" i="2"/>
  <c r="AH95" i="2"/>
  <c r="AI95" i="2"/>
  <c r="AJ95" i="2"/>
  <c r="AF96" i="2"/>
  <c r="AK96" i="2"/>
  <c r="AG96" i="2"/>
  <c r="AH96" i="2"/>
  <c r="AI96" i="2"/>
  <c r="AJ96" i="2"/>
  <c r="AF97" i="2"/>
  <c r="AK97" i="2" s="1"/>
  <c r="AL97" i="2" s="1"/>
  <c r="AG97" i="2"/>
  <c r="AH97" i="2"/>
  <c r="AI97" i="2"/>
  <c r="AJ97" i="2"/>
  <c r="AF98" i="2"/>
  <c r="AK98" i="2"/>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L119" i="2" s="1"/>
  <c r="AG119" i="2"/>
  <c r="AH119" i="2"/>
  <c r="AI119" i="2"/>
  <c r="AJ119" i="2"/>
  <c r="AF120" i="2"/>
  <c r="AK120" i="2"/>
  <c r="AG120" i="2"/>
  <c r="AH120" i="2"/>
  <c r="AI120" i="2"/>
  <c r="AJ120" i="2"/>
  <c r="AF121" i="2"/>
  <c r="AK121" i="2" s="1"/>
  <c r="AL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L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L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L597" i="2" s="1"/>
  <c r="AH597" i="2"/>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s="1"/>
  <c r="AG715" i="2"/>
  <c r="AH715" i="2"/>
  <c r="AI715" i="2"/>
  <c r="AJ715" i="2"/>
  <c r="AF716" i="2"/>
  <c r="AK716" i="2" s="1"/>
  <c r="AG716" i="2"/>
  <c r="AH716" i="2"/>
  <c r="AI716" i="2"/>
  <c r="AL716" i="2" s="1"/>
  <c r="AJ716" i="2"/>
  <c r="AF717" i="2"/>
  <c r="AK717" i="2" s="1"/>
  <c r="AG717" i="2"/>
  <c r="AH717" i="2"/>
  <c r="AI717" i="2"/>
  <c r="AJ717" i="2"/>
  <c r="AF718" i="2"/>
  <c r="AK718" i="2" s="1"/>
  <c r="AG718" i="2"/>
  <c r="AH718" i="2"/>
  <c r="AI718" i="2"/>
  <c r="AJ718" i="2"/>
  <c r="AF719" i="2"/>
  <c r="AK719" i="2" s="1"/>
  <c r="AL719" i="2" s="1"/>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s="1"/>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s="1"/>
  <c r="AG763" i="2"/>
  <c r="AH763" i="2"/>
  <c r="AI763" i="2"/>
  <c r="AJ763" i="2"/>
  <c r="AF764" i="2"/>
  <c r="AK764" i="2" s="1"/>
  <c r="AG764" i="2"/>
  <c r="AH764" i="2"/>
  <c r="AI764" i="2"/>
  <c r="AL764" i="2" s="1"/>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s="1"/>
  <c r="AL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L925" i="2" s="1"/>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c r="AG945" i="2"/>
  <c r="AH945" i="2"/>
  <c r="AI945" i="2"/>
  <c r="AJ945" i="2"/>
  <c r="AF946" i="2"/>
  <c r="AK946" i="2" s="1"/>
  <c r="AG946" i="2"/>
  <c r="AH946" i="2"/>
  <c r="AI946" i="2"/>
  <c r="AJ946" i="2"/>
  <c r="AF947" i="2"/>
  <c r="AK947" i="2"/>
  <c r="AG947" i="2"/>
  <c r="AH947" i="2"/>
  <c r="AI947" i="2"/>
  <c r="AL947" i="2"/>
  <c r="AJ947" i="2"/>
  <c r="AF948" i="2"/>
  <c r="AK948" i="2" s="1"/>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L967" i="2" s="1"/>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c r="AG1002" i="2"/>
  <c r="AH1002" i="2"/>
  <c r="AI1002" i="2"/>
  <c r="AJ1002" i="2"/>
  <c r="AF1003" i="2"/>
  <c r="AK1003" i="2" s="1"/>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s="1"/>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s="1"/>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s="1"/>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c r="AG1080" i="2"/>
  <c r="AH1080" i="2"/>
  <c r="AI1080" i="2"/>
  <c r="AJ1080" i="2"/>
  <c r="AF1081" i="2"/>
  <c r="AK1081" i="2" s="1"/>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c r="AG1088" i="2"/>
  <c r="AH1088" i="2"/>
  <c r="AI1088" i="2"/>
  <c r="AL1088" i="2" s="1"/>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L1093" i="2" s="1"/>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L1111" i="2" s="1"/>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G1135" i="2"/>
  <c r="AL1135" i="2" s="1"/>
  <c r="AH1135" i="2"/>
  <c r="AI1135" i="2"/>
  <c r="AJ1135" i="2"/>
  <c r="AF1136" i="2"/>
  <c r="AK1136" i="2" s="1"/>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s="1"/>
  <c r="AG1173" i="2"/>
  <c r="AH1173" i="2"/>
  <c r="AI1173" i="2"/>
  <c r="AJ1173" i="2"/>
  <c r="AF1174" i="2"/>
  <c r="AK1174" i="2" s="1"/>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s="1"/>
  <c r="AG1249" i="2"/>
  <c r="AL1249" i="2" s="1"/>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c r="AG1274" i="2"/>
  <c r="AH1274" i="2"/>
  <c r="AI1274" i="2"/>
  <c r="AJ1274" i="2"/>
  <c r="AF1275" i="2"/>
  <c r="AK1275" i="2"/>
  <c r="AG1275" i="2"/>
  <c r="AL1275" i="2" s="1"/>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L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s="1"/>
  <c r="AG1296" i="2"/>
  <c r="AH1296" i="2"/>
  <c r="AI1296" i="2"/>
  <c r="AJ1296" i="2"/>
  <c r="AF1297" i="2"/>
  <c r="AK1297" i="2" s="1"/>
  <c r="AL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L1314" i="2" s="1"/>
  <c r="AJ1314" i="2"/>
  <c r="AF1315" i="2"/>
  <c r="AK1315" i="2" s="1"/>
  <c r="AG1315" i="2"/>
  <c r="AH1315" i="2"/>
  <c r="AI1315" i="2"/>
  <c r="AJ1315" i="2"/>
  <c r="AF1316" i="2"/>
  <c r="AK1316" i="2"/>
  <c r="AG1316" i="2"/>
  <c r="AH1316" i="2"/>
  <c r="AI1316" i="2"/>
  <c r="AJ1316" i="2"/>
  <c r="AF1317" i="2"/>
  <c r="AK1317" i="2" s="1"/>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s="1"/>
  <c r="AG1325" i="2"/>
  <c r="AH1325" i="2"/>
  <c r="AI1325" i="2"/>
  <c r="AJ1325" i="2"/>
  <c r="AF1326" i="2"/>
  <c r="AK1326" i="2"/>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L1343" i="2" s="1"/>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L1356" i="2" s="1"/>
  <c r="AG1356" i="2"/>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s="1"/>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s="1"/>
  <c r="AG1544" i="2"/>
  <c r="AH1544" i="2"/>
  <c r="AI1544" i="2"/>
  <c r="AL1544" i="2" s="1"/>
  <c r="AJ1544" i="2"/>
  <c r="AF1545" i="2"/>
  <c r="AK1545" i="2" s="1"/>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s="1"/>
  <c r="AG1549" i="2"/>
  <c r="AH1549" i="2"/>
  <c r="AI1549" i="2"/>
  <c r="AJ1549" i="2"/>
  <c r="AF1550" i="2"/>
  <c r="AK1550" i="2" s="1"/>
  <c r="AG1550" i="2"/>
  <c r="AH1550" i="2"/>
  <c r="AI1550" i="2"/>
  <c r="AJ1550" i="2"/>
  <c r="AF1551" i="2"/>
  <c r="AK1551" i="2" s="1"/>
  <c r="AG1551" i="2"/>
  <c r="AH1551" i="2"/>
  <c r="AI1551" i="2"/>
  <c r="AJ1551" i="2"/>
  <c r="AF1552" i="2"/>
  <c r="AK1552" i="2" s="1"/>
  <c r="AG1552" i="2"/>
  <c r="AH1552" i="2"/>
  <c r="AI1552" i="2"/>
  <c r="AJ1552" i="2"/>
  <c r="AF1553" i="2"/>
  <c r="AK1553" i="2" s="1"/>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s="1"/>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s="1"/>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s="1"/>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s="1"/>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s="1"/>
  <c r="AG1588" i="2"/>
  <c r="AH1588" i="2"/>
  <c r="AL1588" i="2" s="1"/>
  <c r="AI1588" i="2"/>
  <c r="AJ1588" i="2"/>
  <c r="AF1589" i="2"/>
  <c r="AK1589" i="2"/>
  <c r="AG1589" i="2"/>
  <c r="AH1589" i="2"/>
  <c r="AI1589" i="2"/>
  <c r="AJ1589" i="2"/>
  <c r="AF1590" i="2"/>
  <c r="AK1590" i="2"/>
  <c r="AG1590" i="2"/>
  <c r="AL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L1789" i="2" s="1"/>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G1818" i="2"/>
  <c r="AL1818" i="2" s="1"/>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L1971" i="2" s="1"/>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L2004" i="2" s="1"/>
  <c r="AI2004" i="2"/>
  <c r="AJ2004" i="2"/>
  <c r="AF2005" i="2"/>
  <c r="AK2005" i="2"/>
  <c r="AG2005" i="2"/>
  <c r="AH2005" i="2"/>
  <c r="AI2005" i="2"/>
  <c r="AJ2005" i="2"/>
  <c r="AF2006" i="2"/>
  <c r="AK2006" i="2"/>
  <c r="AG2006" i="2"/>
  <c r="AH2006" i="2"/>
  <c r="AL2006" i="2" s="1"/>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L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L2056" i="2" s="1"/>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L2124" i="2" s="1"/>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L2149" i="2" s="1"/>
  <c r="AH2149" i="2"/>
  <c r="AI2149" i="2"/>
  <c r="AJ2149" i="2"/>
  <c r="AF2150" i="2"/>
  <c r="AK2150" i="2"/>
  <c r="AG2150" i="2"/>
  <c r="AH2150" i="2"/>
  <c r="AI2150" i="2"/>
  <c r="AJ2150" i="2"/>
  <c r="AF2151" i="2"/>
  <c r="AK2151" i="2"/>
  <c r="AL2151" i="2" s="1"/>
  <c r="AG2151" i="2"/>
  <c r="AH2151" i="2"/>
  <c r="AI2151" i="2"/>
  <c r="AJ2151" i="2"/>
  <c r="AF2152" i="2"/>
  <c r="AK2152" i="2"/>
  <c r="AG2152" i="2"/>
  <c r="AH2152" i="2"/>
  <c r="AI2152" i="2"/>
  <c r="AJ2152" i="2"/>
  <c r="AF2153" i="2"/>
  <c r="AK2153" i="2" s="1"/>
  <c r="AG2153" i="2"/>
  <c r="AH2153" i="2"/>
  <c r="AI2153" i="2"/>
  <c r="AJ2153" i="2"/>
  <c r="AF2154" i="2"/>
  <c r="AK2154" i="2"/>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I2159" i="2"/>
  <c r="AJ2159" i="2"/>
  <c r="AL2159" i="2" s="1"/>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L2175" i="2" s="1"/>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L2199" i="2" s="1"/>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L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I2216" i="2"/>
  <c r="AJ2216" i="2"/>
  <c r="AL2216" i="2" s="1"/>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H2224" i="2"/>
  <c r="AI2224" i="2"/>
  <c r="AL2224" i="2" s="1"/>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L2255" i="2"/>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L2260" i="2" s="1"/>
  <c r="AG2260" i="2"/>
  <c r="AH2260" i="2"/>
  <c r="AI2260" i="2"/>
  <c r="AJ2260" i="2"/>
  <c r="AF2261" i="2"/>
  <c r="AK2261" i="2"/>
  <c r="AG2261" i="2"/>
  <c r="AH2261" i="2"/>
  <c r="AI2261" i="2"/>
  <c r="AJ2261" i="2"/>
  <c r="AF2262" i="2"/>
  <c r="AK2262" i="2" s="1"/>
  <c r="AL2262" i="2" s="1"/>
  <c r="AG2262" i="2"/>
  <c r="AH2262" i="2"/>
  <c r="AI2262" i="2"/>
  <c r="AJ2262" i="2"/>
  <c r="AF2263" i="2"/>
  <c r="AK2263" i="2" s="1"/>
  <c r="AG2263" i="2"/>
  <c r="AH2263" i="2"/>
  <c r="AI2263" i="2"/>
  <c r="AJ2263" i="2"/>
  <c r="AF2264" i="2"/>
  <c r="AK2264" i="2"/>
  <c r="AG2264" i="2"/>
  <c r="AH2264" i="2"/>
  <c r="AI2264" i="2"/>
  <c r="AL2264" i="2" s="1"/>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L2268" i="2" s="1"/>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L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L2284" i="2" s="1"/>
  <c r="AG2284" i="2"/>
  <c r="AH2284" i="2"/>
  <c r="AI2284" i="2"/>
  <c r="AJ2284" i="2"/>
  <c r="AF2285" i="2"/>
  <c r="AK2285" i="2"/>
  <c r="AG2285" i="2"/>
  <c r="AH2285" i="2"/>
  <c r="AI2285" i="2"/>
  <c r="AJ2285" i="2"/>
  <c r="AF2286" i="2"/>
  <c r="AK2286" i="2" s="1"/>
  <c r="AG2286" i="2"/>
  <c r="AL2286" i="2" s="1"/>
  <c r="AH2286" i="2"/>
  <c r="AI2286" i="2"/>
  <c r="AJ2286" i="2"/>
  <c r="AF2287" i="2"/>
  <c r="AK2287" i="2"/>
  <c r="AG2287" i="2"/>
  <c r="AH2287" i="2"/>
  <c r="AI2287" i="2"/>
  <c r="AJ2287" i="2"/>
  <c r="AF2288" i="2"/>
  <c r="AK2288" i="2" s="1"/>
  <c r="AG2288" i="2"/>
  <c r="AH2288" i="2"/>
  <c r="AL2288" i="2" s="1"/>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L2295" i="2" s="1"/>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L2303" i="2" s="1"/>
  <c r="AI2303" i="2"/>
  <c r="AJ2303" i="2"/>
  <c r="AF2304" i="2"/>
  <c r="AK2304" i="2" s="1"/>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s="1"/>
  <c r="AL2312" i="2" s="1"/>
  <c r="AG2312" i="2"/>
  <c r="AH2312" i="2"/>
  <c r="AI2312" i="2"/>
  <c r="AJ2312" i="2"/>
  <c r="AF2313" i="2"/>
  <c r="AK2313" i="2" s="1"/>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G2355" i="2"/>
  <c r="AH2355" i="2"/>
  <c r="AI2355" i="2"/>
  <c r="AJ2355" i="2"/>
  <c r="AF2356" i="2"/>
  <c r="AK2356" i="2"/>
  <c r="AG2356" i="2"/>
  <c r="AH2356" i="2"/>
  <c r="AI2356" i="2"/>
  <c r="AJ2356" i="2"/>
  <c r="AF2357" i="2"/>
  <c r="AK2357" i="2"/>
  <c r="AG2357" i="2"/>
  <c r="AH2357" i="2"/>
  <c r="AI2357" i="2"/>
  <c r="AJ2357" i="2"/>
  <c r="AF2358" i="2"/>
  <c r="AK2358" i="2" s="1"/>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s="1"/>
  <c r="AG2364" i="2"/>
  <c r="AH2364" i="2"/>
  <c r="AI2364" i="2"/>
  <c r="AJ2364" i="2"/>
  <c r="AF2365" i="2"/>
  <c r="AK2365" i="2" s="1"/>
  <c r="AG2365" i="2"/>
  <c r="AH2365" i="2"/>
  <c r="AI2365" i="2"/>
  <c r="AJ2365" i="2"/>
  <c r="AF2366" i="2"/>
  <c r="AK2366" i="2"/>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H2383" i="2"/>
  <c r="AL2383" i="2" s="1"/>
  <c r="AI2383" i="2"/>
  <c r="AJ2383" i="2"/>
  <c r="AF2384" i="2"/>
  <c r="AK2384" i="2" s="1"/>
  <c r="AL2384" i="2"/>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L2390" i="2" s="1"/>
  <c r="AG2390" i="2"/>
  <c r="AH2390" i="2"/>
  <c r="AI2390" i="2"/>
  <c r="AJ2390" i="2"/>
  <c r="AF2391" i="2"/>
  <c r="AK2391" i="2" s="1"/>
  <c r="AG2391" i="2"/>
  <c r="AH2391" i="2"/>
  <c r="AI2391" i="2"/>
  <c r="AJ2391" i="2"/>
  <c r="AF2392" i="2"/>
  <c r="AK2392" i="2"/>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L2398" i="2" s="1"/>
  <c r="AG2398" i="2"/>
  <c r="AH2398" i="2"/>
  <c r="AI2398" i="2"/>
  <c r="AJ2398" i="2"/>
  <c r="AF2399" i="2"/>
  <c r="AK2399" i="2"/>
  <c r="AG2399" i="2"/>
  <c r="AH2399" i="2"/>
  <c r="AI2399" i="2"/>
  <c r="AJ2399" i="2"/>
  <c r="AL2399" i="2" s="1"/>
  <c r="AF2400" i="2"/>
  <c r="AK2400" i="2" s="1"/>
  <c r="AG2400" i="2"/>
  <c r="AH2400" i="2"/>
  <c r="AI2400" i="2"/>
  <c r="AJ2400" i="2"/>
  <c r="AF2401" i="2"/>
  <c r="AK2401" i="2"/>
  <c r="AG2401" i="2"/>
  <c r="AH2401" i="2"/>
  <c r="AI2401" i="2"/>
  <c r="AJ2401" i="2"/>
  <c r="AF2402" i="2"/>
  <c r="AK2402" i="2" s="1"/>
  <c r="AL2402" i="2" s="1"/>
  <c r="AG2402" i="2"/>
  <c r="AH2402" i="2"/>
  <c r="AI2402" i="2"/>
  <c r="AJ2402" i="2"/>
  <c r="AF2403" i="2"/>
  <c r="AK2403" i="2"/>
  <c r="AG2403" i="2"/>
  <c r="AH2403" i="2"/>
  <c r="AI2403" i="2"/>
  <c r="AJ2403" i="2"/>
  <c r="AF2404" i="2"/>
  <c r="AK2404" i="2" s="1"/>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c r="AG2416" i="2"/>
  <c r="AL2416" i="2" s="1"/>
  <c r="AH2416" i="2"/>
  <c r="AI2416" i="2"/>
  <c r="AJ2416" i="2"/>
  <c r="AF2417" i="2"/>
  <c r="AK2417" i="2" s="1"/>
  <c r="AG2417" i="2"/>
  <c r="AH2417" i="2"/>
  <c r="AL2417" i="2" s="1"/>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L2430" i="2" s="1"/>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L2437" i="2" s="1"/>
  <c r="AG2437" i="2"/>
  <c r="AH2437" i="2"/>
  <c r="AI2437" i="2"/>
  <c r="AJ2437" i="2"/>
  <c r="AF2438" i="2"/>
  <c r="AK2438" i="2" s="1"/>
  <c r="AG2438" i="2"/>
  <c r="AL2438" i="2" s="1"/>
  <c r="AH2438" i="2"/>
  <c r="AI2438" i="2"/>
  <c r="AJ2438" i="2"/>
  <c r="AF2439" i="2"/>
  <c r="AK2439" i="2" s="1"/>
  <c r="AG2439" i="2"/>
  <c r="AH2439" i="2"/>
  <c r="AI2439" i="2"/>
  <c r="AJ2439" i="2"/>
  <c r="AF2440" i="2"/>
  <c r="AK2440" i="2"/>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c r="AG2446" i="2"/>
  <c r="AH2446" i="2"/>
  <c r="AI2446" i="2"/>
  <c r="AJ2446" i="2"/>
  <c r="AL2446" i="2"/>
  <c r="AF2447" i="2"/>
  <c r="AK2447" i="2" s="1"/>
  <c r="AG2447" i="2"/>
  <c r="AH2447" i="2"/>
  <c r="AI2447" i="2"/>
  <c r="AJ2447" i="2"/>
  <c r="AF2448" i="2"/>
  <c r="AK2448" i="2"/>
  <c r="AG2448" i="2"/>
  <c r="AH2448" i="2"/>
  <c r="AL2448" i="2" s="1"/>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c r="AG2463" i="2"/>
  <c r="AH2463" i="2"/>
  <c r="AL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L2468" i="2" s="1"/>
  <c r="AG2468" i="2"/>
  <c r="AH2468" i="2"/>
  <c r="AI2468" i="2"/>
  <c r="AJ2468" i="2"/>
  <c r="AF2469" i="2"/>
  <c r="AK2469" i="2"/>
  <c r="AG2469" i="2"/>
  <c r="AH2469" i="2"/>
  <c r="AI2469" i="2"/>
  <c r="AJ2469" i="2"/>
  <c r="AF2470" i="2"/>
  <c r="AK2470" i="2" s="1"/>
  <c r="AG2470" i="2"/>
  <c r="AH2470" i="2"/>
  <c r="AI2470" i="2"/>
  <c r="AJ2470" i="2"/>
  <c r="AF2471" i="2"/>
  <c r="AK2471" i="2"/>
  <c r="AG2471" i="2"/>
  <c r="AH2471" i="2"/>
  <c r="AI2471" i="2"/>
  <c r="AJ2471" i="2"/>
  <c r="AF2472" i="2"/>
  <c r="AK2472" i="2" s="1"/>
  <c r="AG2472" i="2"/>
  <c r="AH2472" i="2"/>
  <c r="AI2472" i="2"/>
  <c r="AJ2472" i="2"/>
  <c r="AF2473" i="2"/>
  <c r="AK2473" i="2"/>
  <c r="AG2473" i="2"/>
  <c r="AL2473" i="2" s="1"/>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L2479" i="2" s="1"/>
  <c r="AH2479" i="2"/>
  <c r="AI2479" i="2"/>
  <c r="AJ2479" i="2"/>
  <c r="AF2480" i="2"/>
  <c r="AK2480" i="2"/>
  <c r="AG2480" i="2"/>
  <c r="AH2480" i="2"/>
  <c r="AI2480" i="2"/>
  <c r="AJ2480" i="2"/>
  <c r="AF2481" i="2"/>
  <c r="AK2481" i="2" s="1"/>
  <c r="AG2481" i="2"/>
  <c r="AH2481" i="2"/>
  <c r="AI2481" i="2"/>
  <c r="AJ2481" i="2"/>
  <c r="AF2482" i="2"/>
  <c r="AK2482" i="2"/>
  <c r="AG2482" i="2"/>
  <c r="AH2482" i="2"/>
  <c r="AI2482" i="2"/>
  <c r="AL2482" i="2" s="1"/>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L2522" i="2" s="1"/>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s="1"/>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c r="AG2542" i="2"/>
  <c r="AH2542" i="2"/>
  <c r="AI2542" i="2"/>
  <c r="AJ2542" i="2"/>
  <c r="AL2542" i="2"/>
  <c r="AF2543" i="2"/>
  <c r="AK2543" i="2" s="1"/>
  <c r="AG2543" i="2"/>
  <c r="AH2543" i="2"/>
  <c r="AI2543" i="2"/>
  <c r="AJ2543" i="2"/>
  <c r="AF2544" i="2"/>
  <c r="AK2544" i="2"/>
  <c r="AG2544" i="2"/>
  <c r="AH2544" i="2"/>
  <c r="AI2544" i="2"/>
  <c r="AJ2544" i="2"/>
  <c r="AF2545" i="2"/>
  <c r="AK2545" i="2"/>
  <c r="AG2545" i="2"/>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L2568" i="2" s="1"/>
  <c r="AG2568" i="2"/>
  <c r="AH2568" i="2"/>
  <c r="AI2568" i="2"/>
  <c r="AJ2568" i="2"/>
  <c r="AF2569" i="2"/>
  <c r="AK2569" i="2" s="1"/>
  <c r="AG2569" i="2"/>
  <c r="AH2569" i="2"/>
  <c r="AI2569" i="2"/>
  <c r="AJ2569" i="2"/>
  <c r="AF2570" i="2"/>
  <c r="AK2570" i="2"/>
  <c r="AG2570" i="2"/>
  <c r="AH2570" i="2"/>
  <c r="AI2570" i="2"/>
  <c r="AJ2570" i="2"/>
  <c r="AF2571" i="2"/>
  <c r="AK2571" i="2" s="1"/>
  <c r="AG2571" i="2"/>
  <c r="AH2571" i="2"/>
  <c r="AI2571" i="2"/>
  <c r="AJ2571" i="2"/>
  <c r="AL2571" i="2" s="1"/>
  <c r="AF2572" i="2"/>
  <c r="AK2572" i="2" s="1"/>
  <c r="AG2572" i="2"/>
  <c r="AH2572" i="2"/>
  <c r="AI2572" i="2"/>
  <c r="AJ2572" i="2"/>
  <c r="AF2573" i="2"/>
  <c r="AK2573" i="2"/>
  <c r="AG2573" i="2"/>
  <c r="AH2573" i="2"/>
  <c r="AI2573" i="2"/>
  <c r="AJ2573" i="2"/>
  <c r="AF2574" i="2"/>
  <c r="AK2574" i="2" s="1"/>
  <c r="AG2574" i="2"/>
  <c r="AH2574" i="2"/>
  <c r="AI2574" i="2"/>
  <c r="AJ2574" i="2"/>
  <c r="AF2575" i="2"/>
  <c r="AK2575" i="2"/>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c r="AG2583" i="2"/>
  <c r="AH2583" i="2"/>
  <c r="AI2583" i="2"/>
  <c r="AJ2583" i="2"/>
  <c r="AF2584" i="2"/>
  <c r="AK2584" i="2" s="1"/>
  <c r="AL2584" i="2" s="1"/>
  <c r="AG2584" i="2"/>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H2605" i="2"/>
  <c r="AL2605" i="2"/>
  <c r="AI2605" i="2"/>
  <c r="AJ2605" i="2"/>
  <c r="AF2606" i="2"/>
  <c r="AK2606" i="2"/>
  <c r="AG2606" i="2"/>
  <c r="AH2606" i="2"/>
  <c r="AL2606" i="2" s="1"/>
  <c r="AI2606" i="2"/>
  <c r="AJ2606" i="2"/>
  <c r="AF2607" i="2"/>
  <c r="AK2607" i="2" s="1"/>
  <c r="AG2607" i="2"/>
  <c r="AH2607" i="2"/>
  <c r="AI2607" i="2"/>
  <c r="AJ2607" i="2"/>
  <c r="AF2608" i="2"/>
  <c r="AK2608" i="2"/>
  <c r="AL2608" i="2"/>
  <c r="AG2608" i="2"/>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L2622" i="2" s="1"/>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c r="AG2626" i="2"/>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c r="AG2630" i="2"/>
  <c r="AH2630" i="2"/>
  <c r="AI2630" i="2"/>
  <c r="AL2630" i="2" s="1"/>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L2636" i="2" s="1"/>
  <c r="AG2636" i="2"/>
  <c r="AH2636" i="2"/>
  <c r="AI2636" i="2"/>
  <c r="AJ2636" i="2"/>
  <c r="AF2637" i="2"/>
  <c r="AK2637" i="2" s="1"/>
  <c r="AG2637" i="2"/>
  <c r="AH2637" i="2"/>
  <c r="AI2637" i="2"/>
  <c r="AJ2637" i="2"/>
  <c r="AF2638" i="2"/>
  <c r="AK2638" i="2" s="1"/>
  <c r="AG2638" i="2"/>
  <c r="AH2638" i="2"/>
  <c r="AL2638" i="2" s="1"/>
  <c r="AI2638" i="2"/>
  <c r="AJ2638" i="2"/>
  <c r="AF2639" i="2"/>
  <c r="AK2639" i="2"/>
  <c r="AG2639" i="2"/>
  <c r="AH2639" i="2"/>
  <c r="AI2639" i="2"/>
  <c r="AJ2639" i="2"/>
  <c r="AF2640" i="2"/>
  <c r="AK2640" i="2" s="1"/>
  <c r="AG2640" i="2"/>
  <c r="AH2640" i="2"/>
  <c r="AI2640" i="2"/>
  <c r="AL2640" i="2" s="1"/>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L2649" i="2" s="1"/>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L2653" i="2" s="1"/>
  <c r="AJ2653" i="2"/>
  <c r="AF2654" i="2"/>
  <c r="AK2654" i="2"/>
  <c r="AG2654" i="2"/>
  <c r="AH2654" i="2"/>
  <c r="AI2654" i="2"/>
  <c r="AJ2654" i="2"/>
  <c r="AF2655" i="2"/>
  <c r="AK2655" i="2"/>
  <c r="AG2655" i="2"/>
  <c r="AH2655" i="2"/>
  <c r="AI2655" i="2"/>
  <c r="AL2655" i="2" s="1"/>
  <c r="AJ2655" i="2"/>
  <c r="AF2656" i="2"/>
  <c r="AK2656" i="2"/>
  <c r="AG2656" i="2"/>
  <c r="AH2656" i="2"/>
  <c r="AI2656" i="2"/>
  <c r="AJ2656" i="2"/>
  <c r="AF2657" i="2"/>
  <c r="AK2657" i="2"/>
  <c r="AG2657" i="2"/>
  <c r="AH2657" i="2"/>
  <c r="AI2657" i="2"/>
  <c r="AL2657" i="2" s="1"/>
  <c r="AJ2657" i="2"/>
  <c r="AF2658" i="2"/>
  <c r="AK2658" i="2"/>
  <c r="AG2658" i="2"/>
  <c r="AH2658" i="2"/>
  <c r="AI2658" i="2"/>
  <c r="AJ2658" i="2"/>
  <c r="AF2659" i="2"/>
  <c r="AK2659" i="2"/>
  <c r="AG2659" i="2"/>
  <c r="AH2659" i="2"/>
  <c r="AI2659" i="2"/>
  <c r="AL2659" i="2" s="1"/>
  <c r="AJ2659" i="2"/>
  <c r="AF2660" i="2"/>
  <c r="AK2660" i="2"/>
  <c r="AG2660" i="2"/>
  <c r="AH2660" i="2"/>
  <c r="AI2660" i="2"/>
  <c r="AJ2660" i="2"/>
  <c r="AF2661" i="2"/>
  <c r="AK2661" i="2"/>
  <c r="AG2661" i="2"/>
  <c r="AH2661" i="2"/>
  <c r="AI2661" i="2"/>
  <c r="AL2661" i="2" s="1"/>
  <c r="AJ2661" i="2"/>
  <c r="AF2662" i="2"/>
  <c r="AK2662" i="2"/>
  <c r="AG2662" i="2"/>
  <c r="AH2662" i="2"/>
  <c r="AI2662" i="2"/>
  <c r="AJ2662" i="2"/>
  <c r="AF2663" i="2"/>
  <c r="AK2663" i="2"/>
  <c r="AG2663" i="2"/>
  <c r="AH2663" i="2"/>
  <c r="AL2663" i="2"/>
  <c r="AI2663" i="2"/>
  <c r="AJ2663" i="2"/>
  <c r="AF2664" i="2"/>
  <c r="AK2664" i="2"/>
  <c r="AG2664" i="2"/>
  <c r="AH2664" i="2"/>
  <c r="AI2664" i="2"/>
  <c r="AJ2664" i="2"/>
  <c r="AF2665" i="2"/>
  <c r="AK2665" i="2" s="1"/>
  <c r="AG2665" i="2"/>
  <c r="AH2665" i="2"/>
  <c r="AL2665" i="2" s="1"/>
  <c r="AI2665" i="2"/>
  <c r="AJ2665" i="2"/>
  <c r="AF2666" i="2"/>
  <c r="AK2666" i="2" s="1"/>
  <c r="AG2666" i="2"/>
  <c r="AH2666" i="2"/>
  <c r="AI2666" i="2"/>
  <c r="AJ2666" i="2"/>
  <c r="AF2667" i="2"/>
  <c r="AK2667" i="2" s="1"/>
  <c r="AG2667" i="2"/>
  <c r="AH2667" i="2"/>
  <c r="AI2667" i="2"/>
  <c r="AJ2667" i="2"/>
  <c r="AF2668" i="2"/>
  <c r="AK2668" i="2" s="1"/>
  <c r="AL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L2673" i="2"/>
  <c r="AH2673" i="2"/>
  <c r="AI2673" i="2"/>
  <c r="AJ2673" i="2"/>
  <c r="AF2674" i="2"/>
  <c r="AK2674" i="2" s="1"/>
  <c r="AL2674" i="2" s="1"/>
  <c r="AG2674" i="2"/>
  <c r="AH2674" i="2"/>
  <c r="AI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L2689" i="2" s="1"/>
  <c r="AG2689" i="2"/>
  <c r="AH2689" i="2"/>
  <c r="AI2689" i="2"/>
  <c r="AJ2689" i="2"/>
  <c r="AF2690" i="2"/>
  <c r="AK2690" i="2"/>
  <c r="AG2690" i="2"/>
  <c r="AL2690" i="2" s="1"/>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L2737" i="2" s="1"/>
  <c r="AJ2737" i="2"/>
  <c r="AF2738" i="2"/>
  <c r="AK2738" i="2" s="1"/>
  <c r="AG2738" i="2"/>
  <c r="AH2738" i="2"/>
  <c r="AI2738" i="2"/>
  <c r="AJ2738" i="2"/>
  <c r="AF2739" i="2"/>
  <c r="AK2739" i="2" s="1"/>
  <c r="AG2739" i="2"/>
  <c r="AH2739" i="2"/>
  <c r="AI2739" i="2"/>
  <c r="AJ2739" i="2"/>
  <c r="AF2740" i="2"/>
  <c r="AK2740" i="2" s="1"/>
  <c r="AL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s="1"/>
  <c r="AG2751" i="2"/>
  <c r="AH2751" i="2"/>
  <c r="AL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s="1"/>
  <c r="AG2760" i="2"/>
  <c r="AH2760" i="2"/>
  <c r="AI2760" i="2"/>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L2799" i="2" s="1"/>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s="1"/>
  <c r="AG2819" i="2"/>
  <c r="AL2819" i="2" s="1"/>
  <c r="AH2819" i="2"/>
  <c r="AI2819" i="2"/>
  <c r="AJ2819" i="2"/>
  <c r="AF2820" i="2"/>
  <c r="AK2820" i="2"/>
  <c r="AG2820" i="2"/>
  <c r="AH2820" i="2"/>
  <c r="AI2820" i="2"/>
  <c r="AJ2820" i="2"/>
  <c r="AF2821" i="2"/>
  <c r="AK2821" i="2" s="1"/>
  <c r="AG2821" i="2"/>
  <c r="AH2821" i="2"/>
  <c r="AL2821" i="2" s="1"/>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c r="AG2851" i="2"/>
  <c r="AH2851" i="2"/>
  <c r="AI2851" i="2"/>
  <c r="AJ2851" i="2"/>
  <c r="AF2852" i="2"/>
  <c r="AK2852" i="2"/>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L2872" i="2" s="1"/>
  <c r="AF2873" i="2"/>
  <c r="AK2873" i="2" s="1"/>
  <c r="AG2873" i="2"/>
  <c r="AH2873" i="2"/>
  <c r="AI2873" i="2"/>
  <c r="AJ2873" i="2"/>
  <c r="AF2874" i="2"/>
  <c r="AK2874" i="2"/>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G2968" i="2"/>
  <c r="AL2968" i="2" s="1"/>
  <c r="AH2968" i="2"/>
  <c r="AI2968" i="2"/>
  <c r="AJ2968" i="2"/>
  <c r="AF2969" i="2"/>
  <c r="AK2969" i="2" s="1"/>
  <c r="AG2969" i="2"/>
  <c r="AH2969" i="2"/>
  <c r="AI2969" i="2"/>
  <c r="AJ2969" i="2"/>
  <c r="AF2970" i="2"/>
  <c r="AK2970" i="2"/>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s="1"/>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s="1"/>
  <c r="AG3003" i="2"/>
  <c r="AH3003" i="2"/>
  <c r="AI3003" i="2"/>
  <c r="AJ3003" i="2"/>
  <c r="AF3004" i="2"/>
  <c r="AK3004" i="2"/>
  <c r="AG3004" i="2"/>
  <c r="AH3004" i="2"/>
  <c r="AI3004" i="2"/>
  <c r="AJ3004" i="2"/>
  <c r="AF3005" i="2"/>
  <c r="AK3005" i="2" s="1"/>
  <c r="AL3005" i="2" s="1"/>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L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H3099" i="2"/>
  <c r="AI3099" i="2"/>
  <c r="AL3099" i="2" s="1"/>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L3138" i="2" s="1"/>
  <c r="AJ3138" i="2"/>
  <c r="AF3139" i="2"/>
  <c r="AK3139" i="2" s="1"/>
  <c r="AG3139" i="2"/>
  <c r="AH3139" i="2"/>
  <c r="AI3139" i="2"/>
  <c r="AJ3139" i="2"/>
  <c r="AF3140" i="2"/>
  <c r="AK3140" i="2"/>
  <c r="AG3140" i="2"/>
  <c r="AH3140" i="2"/>
  <c r="AI3140" i="2"/>
  <c r="AJ3140" i="2"/>
  <c r="AF3141" i="2"/>
  <c r="AK3141" i="2" s="1"/>
  <c r="AG3141" i="2"/>
  <c r="AH3141" i="2"/>
  <c r="AL3141" i="2" s="1"/>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L3150" i="2" s="1"/>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L3156" i="2" s="1"/>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c r="AL3163" i="2" s="1"/>
  <c r="AG3163" i="2"/>
  <c r="AH3163" i="2"/>
  <c r="AI3163" i="2"/>
  <c r="AJ3163" i="2"/>
  <c r="AF3164" i="2"/>
  <c r="AK3164" i="2" s="1"/>
  <c r="AG3164" i="2"/>
  <c r="AH3164" i="2"/>
  <c r="AI3164" i="2"/>
  <c r="AJ3164" i="2"/>
  <c r="AF3165" i="2"/>
  <c r="AK3165" i="2"/>
  <c r="AG3165" i="2"/>
  <c r="AL3165" i="2" s="1"/>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L3174" i="2" s="1"/>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s="1"/>
  <c r="AG3178" i="2"/>
  <c r="AH3178" i="2"/>
  <c r="AL3178" i="2" s="1"/>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G3187" i="2"/>
  <c r="AL3187" i="2" s="1"/>
  <c r="AH3187" i="2"/>
  <c r="AI3187" i="2"/>
  <c r="AJ3187" i="2"/>
  <c r="AK3187" i="2"/>
  <c r="AF3188" i="2"/>
  <c r="AK3188" i="2" s="1"/>
  <c r="AG3188" i="2"/>
  <c r="AH3188" i="2"/>
  <c r="AI3188" i="2"/>
  <c r="AJ3188" i="2"/>
  <c r="AF3189" i="2"/>
  <c r="AK3189" i="2"/>
  <c r="AG3189" i="2"/>
  <c r="AL3189" i="2" s="1"/>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L3198" i="2" s="1"/>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s="1"/>
  <c r="AG3202" i="2"/>
  <c r="AH3202" i="2"/>
  <c r="AL3202" i="2" s="1"/>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c r="AL3211" i="2" s="1"/>
  <c r="AG3211" i="2"/>
  <c r="AH3211" i="2"/>
  <c r="AI3211" i="2"/>
  <c r="AJ3211" i="2"/>
  <c r="AF3212" i="2"/>
  <c r="AK3212" i="2" s="1"/>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L3221" i="2" s="1"/>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c r="AG3254" i="2"/>
  <c r="AH3254" i="2"/>
  <c r="AL3254" i="2" s="1"/>
  <c r="AI3254" i="2"/>
  <c r="AJ3254" i="2"/>
  <c r="AF3255" i="2"/>
  <c r="AK3255" i="2"/>
  <c r="AG3255" i="2"/>
  <c r="AH3255" i="2"/>
  <c r="AI3255" i="2"/>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L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L3286" i="2" s="1"/>
  <c r="AF3287" i="2"/>
  <c r="AK3287" i="2" s="1"/>
  <c r="AG3287" i="2"/>
  <c r="AH3287" i="2"/>
  <c r="AI3287" i="2"/>
  <c r="AJ3287" i="2"/>
  <c r="AF3288" i="2"/>
  <c r="AK3288" i="2" s="1"/>
  <c r="AG3288" i="2"/>
  <c r="AH3288" i="2"/>
  <c r="AI3288" i="2"/>
  <c r="AJ3288" i="2"/>
  <c r="AF3289" i="2"/>
  <c r="AK3289" i="2" s="1"/>
  <c r="AG3289" i="2"/>
  <c r="AL3289" i="2" s="1"/>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L3300" i="2"/>
  <c r="AG3300" i="2"/>
  <c r="AH3300" i="2"/>
  <c r="AI3300" i="2"/>
  <c r="AJ3300" i="2"/>
  <c r="AF3301" i="2"/>
  <c r="AK3301" i="2" s="1"/>
  <c r="AG3301" i="2"/>
  <c r="AL3301" i="2" s="1"/>
  <c r="AH3301" i="2"/>
  <c r="AI3301" i="2"/>
  <c r="AJ3301" i="2"/>
  <c r="AF3302" i="2"/>
  <c r="AK3302" i="2"/>
  <c r="AG3302" i="2"/>
  <c r="AL3302" i="2"/>
  <c r="AH3302" i="2"/>
  <c r="AI3302" i="2"/>
  <c r="AJ3302" i="2"/>
  <c r="AF3303" i="2"/>
  <c r="AK3303" i="2"/>
  <c r="AG3303" i="2"/>
  <c r="AH3303" i="2"/>
  <c r="AI3303" i="2"/>
  <c r="AJ3303" i="2"/>
  <c r="AF3304" i="2"/>
  <c r="AK3304" i="2" s="1"/>
  <c r="AG3304" i="2"/>
  <c r="AH3304" i="2"/>
  <c r="AI3304" i="2"/>
  <c r="AJ3304" i="2"/>
  <c r="AF3305" i="2"/>
  <c r="AK3305" i="2"/>
  <c r="AG3305" i="2"/>
  <c r="AL3305" i="2" s="1"/>
  <c r="AH3305" i="2"/>
  <c r="AI3305" i="2"/>
  <c r="AJ3305" i="2"/>
  <c r="AF3306" i="2"/>
  <c r="AK3306" i="2" s="1"/>
  <c r="AL3306" i="2" s="1"/>
  <c r="AG3306" i="2"/>
  <c r="AH3306" i="2"/>
  <c r="AI3306" i="2"/>
  <c r="AJ3306" i="2"/>
  <c r="AF3307" i="2"/>
  <c r="AK3307" i="2"/>
  <c r="AL3307" i="2" s="1"/>
  <c r="AG3307" i="2"/>
  <c r="AH3307" i="2"/>
  <c r="AI3307" i="2"/>
  <c r="AJ3307" i="2"/>
  <c r="AF3308" i="2"/>
  <c r="AK3308" i="2"/>
  <c r="AG3308" i="2"/>
  <c r="AH3308" i="2"/>
  <c r="AI3308" i="2"/>
  <c r="AJ3308" i="2"/>
  <c r="AF3309" i="2"/>
  <c r="AK3309" i="2" s="1"/>
  <c r="AG3309" i="2"/>
  <c r="AL3309" i="2" s="1"/>
  <c r="AH3309" i="2"/>
  <c r="AI3309" i="2"/>
  <c r="AJ3309" i="2"/>
  <c r="AF3310" i="2"/>
  <c r="AK3310" i="2" s="1"/>
  <c r="AG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s="1"/>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L3327" i="2" s="1"/>
  <c r="AH3327" i="2"/>
  <c r="AI3327" i="2"/>
  <c r="AJ3327" i="2"/>
  <c r="AF3328" i="2"/>
  <c r="AK3328" i="2"/>
  <c r="AL3328" i="2" s="1"/>
  <c r="AG3328" i="2"/>
  <c r="AH3328" i="2"/>
  <c r="AI3328" i="2"/>
  <c r="AJ3328" i="2"/>
  <c r="AF3329" i="2"/>
  <c r="AK3329" i="2" s="1"/>
  <c r="AG3329" i="2"/>
  <c r="AH3329" i="2"/>
  <c r="AI3329" i="2"/>
  <c r="AJ3329" i="2"/>
  <c r="AF3330" i="2"/>
  <c r="AK3330" i="2" s="1"/>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L3344" i="2" s="1"/>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L3360" i="2"/>
  <c r="AH3360" i="2"/>
  <c r="AI3360" i="2"/>
  <c r="AJ3360" i="2"/>
  <c r="AF3361" i="2"/>
  <c r="AK3361" i="2"/>
  <c r="AG3361" i="2"/>
  <c r="AH3361" i="2"/>
  <c r="AI3361" i="2"/>
  <c r="AJ3361" i="2"/>
  <c r="AF3362" i="2"/>
  <c r="AK3362" i="2" s="1"/>
  <c r="AG3362" i="2"/>
  <c r="AH3362" i="2"/>
  <c r="AI3362" i="2"/>
  <c r="AJ3362" i="2"/>
  <c r="AF3363" i="2"/>
  <c r="AK3363" i="2"/>
  <c r="AG3363" i="2"/>
  <c r="AH3363" i="2"/>
  <c r="AL3363" i="2" s="1"/>
  <c r="AI3363" i="2"/>
  <c r="AJ3363" i="2"/>
  <c r="AF3364" i="2"/>
  <c r="AK3364" i="2"/>
  <c r="AG3364" i="2"/>
  <c r="AH3364" i="2"/>
  <c r="AI3364" i="2"/>
  <c r="AJ3364" i="2"/>
  <c r="AF3365" i="2"/>
  <c r="AK3365" i="2" s="1"/>
  <c r="AG3365" i="2"/>
  <c r="AH3365" i="2"/>
  <c r="AI3365" i="2"/>
  <c r="AJ3365" i="2"/>
  <c r="AF3366" i="2"/>
  <c r="AK3366" i="2"/>
  <c r="AL3366" i="2" s="1"/>
  <c r="AG3366" i="2"/>
  <c r="AH3366" i="2"/>
  <c r="AI3366" i="2"/>
  <c r="AJ3366" i="2"/>
  <c r="AF3367" i="2"/>
  <c r="AK3367" i="2" s="1"/>
  <c r="AG3367" i="2"/>
  <c r="AH3367" i="2"/>
  <c r="AI3367" i="2"/>
  <c r="AJ3367" i="2"/>
  <c r="AF3368" i="2"/>
  <c r="AK3368" i="2"/>
  <c r="AG3368" i="2"/>
  <c r="AL3368" i="2" s="1"/>
  <c r="AH3368" i="2"/>
  <c r="AI3368" i="2"/>
  <c r="AJ3368" i="2"/>
  <c r="AF3369" i="2"/>
  <c r="AK3369" i="2" s="1"/>
  <c r="AG3369" i="2"/>
  <c r="AH3369" i="2"/>
  <c r="AI3369" i="2"/>
  <c r="AJ3369" i="2"/>
  <c r="AF3370" i="2"/>
  <c r="AK3370" i="2"/>
  <c r="AG3370" i="2"/>
  <c r="AL3370" i="2" s="1"/>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L3377" i="2" s="1"/>
  <c r="AG3377" i="2"/>
  <c r="AH3377" i="2"/>
  <c r="AI3377" i="2"/>
  <c r="AJ3377" i="2"/>
  <c r="AF3378" i="2"/>
  <c r="AK3378" i="2"/>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s="1"/>
  <c r="AG3384" i="2"/>
  <c r="AH3384" i="2"/>
  <c r="AI3384" i="2"/>
  <c r="AJ3384" i="2"/>
  <c r="AF3385" i="2"/>
  <c r="AK3385" i="2" s="1"/>
  <c r="AG3385" i="2"/>
  <c r="AL3385" i="2" s="1"/>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L3414" i="2"/>
  <c r="AH3414" i="2"/>
  <c r="AI3414" i="2"/>
  <c r="AJ3414" i="2"/>
  <c r="AF3415" i="2"/>
  <c r="AK3415" i="2"/>
  <c r="AG3415" i="2"/>
  <c r="AH3415" i="2"/>
  <c r="AI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L3431" i="2" s="1"/>
  <c r="AG3431" i="2"/>
  <c r="AH3431" i="2"/>
  <c r="AI3431" i="2"/>
  <c r="AJ3431" i="2"/>
  <c r="AF3432" i="2"/>
  <c r="AK3432" i="2"/>
  <c r="AG3432" i="2"/>
  <c r="AH3432" i="2"/>
  <c r="AI3432" i="2"/>
  <c r="AJ3432" i="2"/>
  <c r="AF3433" i="2"/>
  <c r="AK3433" i="2" s="1"/>
  <c r="AG3433" i="2"/>
  <c r="AL3433" i="2" s="1"/>
  <c r="AH3433" i="2"/>
  <c r="AI3433" i="2"/>
  <c r="AJ3433" i="2"/>
  <c r="AF3434" i="2"/>
  <c r="AK3434" i="2"/>
  <c r="AG3434" i="2"/>
  <c r="AH3434" i="2"/>
  <c r="AI3434" i="2"/>
  <c r="AJ3434" i="2"/>
  <c r="AF3435" i="2"/>
  <c r="AK3435" i="2" s="1"/>
  <c r="AG3435" i="2"/>
  <c r="AL3435" i="2" s="1"/>
  <c r="AH3435" i="2"/>
  <c r="AI3435" i="2"/>
  <c r="AJ3435" i="2"/>
  <c r="AF3436" i="2"/>
  <c r="AK3436" i="2"/>
  <c r="AG3436" i="2"/>
  <c r="AH3436" i="2"/>
  <c r="AI3436" i="2"/>
  <c r="AJ3436" i="2"/>
  <c r="AF3437" i="2"/>
  <c r="AK3437" i="2" s="1"/>
  <c r="AG3437" i="2"/>
  <c r="AH3437" i="2"/>
  <c r="AL3437" i="2" s="1"/>
  <c r="AI3437" i="2"/>
  <c r="AJ3437" i="2"/>
  <c r="AF3438" i="2"/>
  <c r="AK3438" i="2"/>
  <c r="AG3438" i="2"/>
  <c r="AH3438" i="2"/>
  <c r="AI3438" i="2"/>
  <c r="AJ3438" i="2"/>
  <c r="AF3439" i="2"/>
  <c r="AK3439" i="2" s="1"/>
  <c r="AG3439" i="2"/>
  <c r="AH3439" i="2"/>
  <c r="AI3439" i="2"/>
  <c r="AJ3439" i="2"/>
  <c r="AF3440" i="2"/>
  <c r="AK3440" i="2"/>
  <c r="AG3440" i="2"/>
  <c r="AH3440" i="2"/>
  <c r="AL3440" i="2" s="1"/>
  <c r="AI3440" i="2"/>
  <c r="AJ3440" i="2"/>
  <c r="AF3441" i="2"/>
  <c r="AK3441" i="2"/>
  <c r="AG3441" i="2"/>
  <c r="AH3441" i="2"/>
  <c r="AI3441" i="2"/>
  <c r="AJ3441" i="2"/>
  <c r="AF3442" i="2"/>
  <c r="AK3442" i="2" s="1"/>
  <c r="AL3442" i="2" s="1"/>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L3447" i="2" s="1"/>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L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L3465" i="2"/>
  <c r="AF3466" i="2"/>
  <c r="AK3466" i="2" s="1"/>
  <c r="AL3466" i="2" s="1"/>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L3475" i="2" s="1"/>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L3480" i="2" s="1"/>
  <c r="AG3480" i="2"/>
  <c r="AH3480" i="2"/>
  <c r="AI3480" i="2"/>
  <c r="AJ3480" i="2"/>
  <c r="AF3481" i="2"/>
  <c r="AK3481" i="2"/>
  <c r="AG3481" i="2"/>
  <c r="AH3481" i="2"/>
  <c r="AL3481" i="2" s="1"/>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L3492" i="2" s="1"/>
  <c r="AH3492" i="2"/>
  <c r="AI3492" i="2"/>
  <c r="AJ3492" i="2"/>
  <c r="AF3493" i="2"/>
  <c r="AK3493" i="2"/>
  <c r="AG3493" i="2"/>
  <c r="AH3493" i="2"/>
  <c r="AI3493" i="2"/>
  <c r="AJ3493" i="2"/>
  <c r="AF3494" i="2"/>
  <c r="AK3494" i="2" s="1"/>
  <c r="AG3494" i="2"/>
  <c r="AH3494" i="2"/>
  <c r="AI3494" i="2"/>
  <c r="AJ3494" i="2"/>
  <c r="AL3494" i="2"/>
  <c r="AF3495" i="2"/>
  <c r="AK3495" i="2" s="1"/>
  <c r="AG3495" i="2"/>
  <c r="AH3495" i="2"/>
  <c r="AI3495" i="2"/>
  <c r="AJ3495" i="2"/>
  <c r="AF3496" i="2"/>
  <c r="AK3496" i="2"/>
  <c r="AG3496" i="2"/>
  <c r="AH3496" i="2"/>
  <c r="AI3496" i="2"/>
  <c r="AJ3496" i="2"/>
  <c r="AF3497" i="2"/>
  <c r="AK3497" i="2" s="1"/>
  <c r="AL3497" i="2" s="1"/>
  <c r="AG3497" i="2"/>
  <c r="AH3497" i="2"/>
  <c r="AI3497" i="2"/>
  <c r="AJ3497" i="2"/>
  <c r="AF3498" i="2"/>
  <c r="AK3498" i="2" s="1"/>
  <c r="AG3498" i="2"/>
  <c r="AH3498" i="2"/>
  <c r="AI3498" i="2"/>
  <c r="AJ3498" i="2"/>
  <c r="AF3499" i="2"/>
  <c r="AG3499" i="2"/>
  <c r="AH3499" i="2"/>
  <c r="AL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c r="AG3507" i="2"/>
  <c r="AH3507" i="2"/>
  <c r="AI3507" i="2"/>
  <c r="AJ3507" i="2"/>
  <c r="AF3508" i="2"/>
  <c r="AK3508" i="2" s="1"/>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c r="AG3513" i="2"/>
  <c r="AH3513" i="2"/>
  <c r="AI3513" i="2"/>
  <c r="AJ3513" i="2"/>
  <c r="AF3514" i="2"/>
  <c r="AK3514" i="2" s="1"/>
  <c r="AG3514" i="2"/>
  <c r="AH3514" i="2"/>
  <c r="AI3514" i="2"/>
  <c r="AJ3514" i="2"/>
  <c r="AF3515" i="2"/>
  <c r="AK3515" i="2"/>
  <c r="AG3515" i="2"/>
  <c r="AH3515" i="2"/>
  <c r="AL3515" i="2" s="1"/>
  <c r="AI3515" i="2"/>
  <c r="AJ3515" i="2"/>
  <c r="AF3516" i="2"/>
  <c r="AK3516" i="2"/>
  <c r="AG3516" i="2"/>
  <c r="AH3516" i="2"/>
  <c r="AI3516" i="2"/>
  <c r="AJ3516" i="2"/>
  <c r="AF3517" i="2"/>
  <c r="AK3517" i="2" s="1"/>
  <c r="AG3517" i="2"/>
  <c r="AH3517" i="2"/>
  <c r="AI3517" i="2"/>
  <c r="AJ3517" i="2"/>
  <c r="AF3518" i="2"/>
  <c r="AK3518" i="2" s="1"/>
  <c r="AL3518" i="2" s="1"/>
  <c r="AG3518" i="2"/>
  <c r="AH3518" i="2"/>
  <c r="AI3518" i="2"/>
  <c r="AJ3518" i="2"/>
  <c r="AF3519" i="2"/>
  <c r="AK3519" i="2"/>
  <c r="AG3519" i="2"/>
  <c r="AH3519" i="2"/>
  <c r="AI3519" i="2"/>
  <c r="AJ3519" i="2"/>
  <c r="AF3520" i="2"/>
  <c r="AK3520" i="2" s="1"/>
  <c r="AL3520" i="2" s="1"/>
  <c r="AG3520" i="2"/>
  <c r="AH3520" i="2"/>
  <c r="AI3520" i="2"/>
  <c r="AJ3520" i="2"/>
  <c r="AF3521" i="2"/>
  <c r="AK3521" i="2"/>
  <c r="AG3521" i="2"/>
  <c r="AH3521" i="2"/>
  <c r="AI3521" i="2"/>
  <c r="AJ3521" i="2"/>
  <c r="AL3521" i="2" s="1"/>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s="1"/>
  <c r="AL3526" i="2" s="1"/>
  <c r="AG3526" i="2"/>
  <c r="AH3526" i="2"/>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L3530" i="2" s="1"/>
  <c r="AH3530" i="2"/>
  <c r="AI3530" i="2"/>
  <c r="AJ3530" i="2"/>
  <c r="AF3531" i="2"/>
  <c r="AK3531" i="2"/>
  <c r="AG3531" i="2"/>
  <c r="AL3531" i="2" s="1"/>
  <c r="AH3531" i="2"/>
  <c r="AI3531" i="2"/>
  <c r="AJ3531" i="2"/>
  <c r="AF3532" i="2"/>
  <c r="AK3532" i="2"/>
  <c r="AG3532" i="2"/>
  <c r="AH3532" i="2"/>
  <c r="AL3532" i="2" s="1"/>
  <c r="AI3532" i="2"/>
  <c r="AJ3532" i="2"/>
  <c r="AF3533" i="2"/>
  <c r="AK3533" i="2"/>
  <c r="AG3533" i="2"/>
  <c r="AH3533" i="2"/>
  <c r="AI3533" i="2"/>
  <c r="AJ3533" i="2"/>
  <c r="AF3534" i="2"/>
  <c r="AK3534" i="2" s="1"/>
  <c r="AG3534" i="2"/>
  <c r="AH3534" i="2"/>
  <c r="AI3534" i="2"/>
  <c r="AJ3534" i="2"/>
  <c r="AF3535" i="2"/>
  <c r="AK3535" i="2"/>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H3548" i="2"/>
  <c r="AI3548" i="2"/>
  <c r="AJ3548" i="2"/>
  <c r="AL3548" i="2" s="1"/>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L3552" i="2" s="1"/>
  <c r="AH3552" i="2"/>
  <c r="AI3552" i="2"/>
  <c r="AJ3552" i="2"/>
  <c r="AF3553" i="2"/>
  <c r="AK3553" i="2" s="1"/>
  <c r="AG3553" i="2"/>
  <c r="AH3553" i="2"/>
  <c r="AI3553" i="2"/>
  <c r="AJ3553" i="2"/>
  <c r="AF3554" i="2"/>
  <c r="AK3554" i="2" s="1"/>
  <c r="AG3554" i="2"/>
  <c r="AH3554" i="2"/>
  <c r="AI3554" i="2"/>
  <c r="AJ3554" i="2"/>
  <c r="AF3555" i="2"/>
  <c r="AK3555" i="2" s="1"/>
  <c r="AG3555" i="2"/>
  <c r="AH3555" i="2"/>
  <c r="AL3555" i="2" s="1"/>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L3571" i="2"/>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c r="AG3579" i="2"/>
  <c r="AH3579" i="2"/>
  <c r="AL3579" i="2" s="1"/>
  <c r="AI3579" i="2"/>
  <c r="AJ3579" i="2"/>
  <c r="AF3580" i="2"/>
  <c r="AG3580" i="2"/>
  <c r="AH3580" i="2"/>
  <c r="AI3580" i="2"/>
  <c r="AJ3580" i="2"/>
  <c r="AK3580" i="2"/>
  <c r="AF3581" i="2"/>
  <c r="AK3581" i="2" s="1"/>
  <c r="AG3581" i="2"/>
  <c r="AH3581" i="2"/>
  <c r="AI3581" i="2"/>
  <c r="AJ3581" i="2"/>
  <c r="AF3582" i="2"/>
  <c r="AK3582" i="2"/>
  <c r="AG3582" i="2"/>
  <c r="AH3582" i="2"/>
  <c r="AI3582" i="2"/>
  <c r="AJ3582" i="2"/>
  <c r="AF3583" i="2"/>
  <c r="AK3583" i="2" s="1"/>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s="1"/>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s="1"/>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L3628" i="2" s="1"/>
  <c r="AH3628" i="2"/>
  <c r="AI3628" i="2"/>
  <c r="AJ3628" i="2"/>
  <c r="AF3629" i="2"/>
  <c r="AK3629" i="2" s="1"/>
  <c r="AG3629" i="2"/>
  <c r="AH3629" i="2"/>
  <c r="AI3629" i="2"/>
  <c r="AJ3629" i="2"/>
  <c r="AF3630" i="2"/>
  <c r="AK3630" i="2"/>
  <c r="AG3630" i="2"/>
  <c r="AL3630" i="2" s="1"/>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s="1"/>
  <c r="AG3670" i="2"/>
  <c r="AH3670" i="2"/>
  <c r="AI3670" i="2"/>
  <c r="AJ3670" i="2"/>
  <c r="AF3671" i="2"/>
  <c r="AK3671" i="2"/>
  <c r="AG3671" i="2"/>
  <c r="AH3671" i="2"/>
  <c r="AI3671" i="2"/>
  <c r="AJ3671" i="2"/>
  <c r="AF3672" i="2"/>
  <c r="AK3672" i="2" s="1"/>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L3695" i="2" s="1"/>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L3709" i="2" s="1"/>
  <c r="AH3709" i="2"/>
  <c r="AI3709" i="2"/>
  <c r="AJ3709" i="2"/>
  <c r="AF3710" i="2"/>
  <c r="AK3710" i="2" s="1"/>
  <c r="AG3710" i="2"/>
  <c r="AH3710" i="2"/>
  <c r="AI3710" i="2"/>
  <c r="AJ3710" i="2"/>
  <c r="AF3711" i="2"/>
  <c r="AK3711" i="2" s="1"/>
  <c r="AG3711" i="2"/>
  <c r="AH3711" i="2"/>
  <c r="AI3711" i="2"/>
  <c r="AJ3711" i="2"/>
  <c r="AF3712" i="2"/>
  <c r="AK3712" i="2"/>
  <c r="AL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L3726" i="2" s="1"/>
  <c r="AG3726" i="2"/>
  <c r="AH3726" i="2"/>
  <c r="AI3726" i="2"/>
  <c r="AJ3726" i="2"/>
  <c r="AF3727" i="2"/>
  <c r="AK3727" i="2" s="1"/>
  <c r="AG3727" i="2"/>
  <c r="AH3727" i="2"/>
  <c r="AI3727" i="2"/>
  <c r="AJ3727" i="2"/>
  <c r="AF3728" i="2"/>
  <c r="AK3728" i="2"/>
  <c r="AG3728" i="2"/>
  <c r="AL3728" i="2" s="1"/>
  <c r="AH3728" i="2"/>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s="1"/>
  <c r="AG3733" i="2"/>
  <c r="AH3733" i="2"/>
  <c r="AI3733" i="2"/>
  <c r="AJ3733" i="2"/>
  <c r="AF3734" i="2"/>
  <c r="AK3734" i="2"/>
  <c r="AG3734" i="2"/>
  <c r="AH3734" i="2"/>
  <c r="AI3734" i="2"/>
  <c r="AJ3734" i="2"/>
  <c r="AF3735" i="2"/>
  <c r="AK3735" i="2" s="1"/>
  <c r="AG3735" i="2"/>
  <c r="AL3735" i="2" s="1"/>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s="1"/>
  <c r="AL3740" i="2" s="1"/>
  <c r="AG3740" i="2"/>
  <c r="AH3740" i="2"/>
  <c r="AI3740" i="2"/>
  <c r="AJ3740" i="2"/>
  <c r="AF3741" i="2"/>
  <c r="AK3741" i="2" s="1"/>
  <c r="AL3741" i="2" s="1"/>
  <c r="AG3741" i="2"/>
  <c r="AH3741" i="2"/>
  <c r="AI3741" i="2"/>
  <c r="AJ3741" i="2"/>
  <c r="AF3742" i="2"/>
  <c r="AK3742" i="2"/>
  <c r="AG3742" i="2"/>
  <c r="AH3742" i="2"/>
  <c r="AI3742" i="2"/>
  <c r="AJ3742" i="2"/>
  <c r="AF3743" i="2"/>
  <c r="AK3743" i="2" s="1"/>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L3751" i="2" s="1"/>
  <c r="AH3751" i="2"/>
  <c r="AI3751" i="2"/>
  <c r="AJ3751" i="2"/>
  <c r="AF3752" i="2"/>
  <c r="AK3752" i="2"/>
  <c r="AG3752" i="2"/>
  <c r="AH3752" i="2"/>
  <c r="AI3752" i="2"/>
  <c r="AJ3752" i="2"/>
  <c r="AF3753" i="2"/>
  <c r="AK3753" i="2"/>
  <c r="AG3753" i="2"/>
  <c r="AH3753" i="2"/>
  <c r="AI3753" i="2"/>
  <c r="AJ3753" i="2"/>
  <c r="AF3754" i="2"/>
  <c r="AK3754" i="2" s="1"/>
  <c r="AG3754" i="2"/>
  <c r="AH3754" i="2"/>
  <c r="AI3754" i="2"/>
  <c r="AJ3754" i="2"/>
  <c r="AF3755" i="2"/>
  <c r="AK3755" i="2"/>
  <c r="AG3755" i="2"/>
  <c r="AL3755" i="2" s="1"/>
  <c r="AH3755" i="2"/>
  <c r="AI3755" i="2"/>
  <c r="AJ3755" i="2"/>
  <c r="AF3756" i="2"/>
  <c r="AK3756" i="2" s="1"/>
  <c r="AG3756" i="2"/>
  <c r="AH3756" i="2"/>
  <c r="AI3756" i="2"/>
  <c r="AJ3756" i="2"/>
  <c r="AF3757" i="2"/>
  <c r="AK3757" i="2"/>
  <c r="AG3757" i="2"/>
  <c r="AH3757" i="2"/>
  <c r="AL3757" i="2" s="1"/>
  <c r="AI3757" i="2"/>
  <c r="AJ3757" i="2"/>
  <c r="AF3758" i="2"/>
  <c r="AK3758" i="2"/>
  <c r="AG3758" i="2"/>
  <c r="AL3758" i="2" s="1"/>
  <c r="AH3758" i="2"/>
  <c r="AI3758" i="2"/>
  <c r="AJ3758" i="2"/>
  <c r="AF3759" i="2"/>
  <c r="AK3759" i="2"/>
  <c r="AG3759" i="2"/>
  <c r="AH3759" i="2"/>
  <c r="AI3759" i="2"/>
  <c r="AJ3759" i="2"/>
  <c r="AF3760" i="2"/>
  <c r="AK3760" i="2"/>
  <c r="AG3760" i="2"/>
  <c r="AH3760" i="2"/>
  <c r="AI3760" i="2"/>
  <c r="AJ3760" i="2"/>
  <c r="AF3761" i="2"/>
  <c r="AK3761" i="2"/>
  <c r="AG3761" i="2"/>
  <c r="AH3761" i="2"/>
  <c r="AI3761" i="2"/>
  <c r="AJ3761" i="2"/>
  <c r="AF3762" i="2"/>
  <c r="AK3762" i="2" s="1"/>
  <c r="AG3762" i="2"/>
  <c r="AH3762" i="2"/>
  <c r="AI3762" i="2"/>
  <c r="AJ3762" i="2"/>
  <c r="AF3763" i="2"/>
  <c r="AK3763" i="2" s="1"/>
  <c r="AG3763" i="2"/>
  <c r="AH3763" i="2"/>
  <c r="AI3763" i="2"/>
  <c r="AJ3763" i="2"/>
  <c r="AF3764" i="2"/>
  <c r="AK3764" i="2" s="1"/>
  <c r="AL3764" i="2" s="1"/>
  <c r="AG3764" i="2"/>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s="1"/>
  <c r="AG3773" i="2"/>
  <c r="AH3773" i="2"/>
  <c r="AI3773" i="2"/>
  <c r="AJ3773" i="2"/>
  <c r="AF3774" i="2"/>
  <c r="AK3774" i="2"/>
  <c r="AG3774" i="2"/>
  <c r="AH3774" i="2"/>
  <c r="AL3774" i="2" s="1"/>
  <c r="AI3774" i="2"/>
  <c r="AJ3774" i="2"/>
  <c r="AF3775" i="2"/>
  <c r="AK3775" i="2"/>
  <c r="AL3775" i="2" s="1"/>
  <c r="AG3775" i="2"/>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L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H3790" i="2"/>
  <c r="AI3790" i="2"/>
  <c r="AJ3790" i="2"/>
  <c r="AF3791" i="2"/>
  <c r="AK3791" i="2" s="1"/>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H3810" i="2"/>
  <c r="AL3810" i="2" s="1"/>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G3827" i="2"/>
  <c r="AL3827" i="2" s="1"/>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c r="AG3833" i="2"/>
  <c r="AH3833" i="2"/>
  <c r="AI3833" i="2"/>
  <c r="AJ3833" i="2"/>
  <c r="AF3834" i="2"/>
  <c r="AK3834" i="2"/>
  <c r="AG3834" i="2"/>
  <c r="AH3834" i="2"/>
  <c r="AI3834" i="2"/>
  <c r="AJ3834" i="2"/>
  <c r="AF3835" i="2"/>
  <c r="AK3835" i="2"/>
  <c r="AG3835" i="2"/>
  <c r="AH3835" i="2"/>
  <c r="AI3835" i="2"/>
  <c r="AJ3835" i="2"/>
  <c r="AL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L3856" i="2" s="1"/>
  <c r="AH3856" i="2"/>
  <c r="AI3856" i="2"/>
  <c r="AJ3856" i="2"/>
  <c r="AF3857" i="2"/>
  <c r="AK3857" i="2" s="1"/>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L3872" i="2" s="1"/>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L3883" i="2" s="1"/>
  <c r="AI3883" i="2"/>
  <c r="AJ3883" i="2"/>
  <c r="AF3884" i="2"/>
  <c r="AK3884" i="2"/>
  <c r="AG3884" i="2"/>
  <c r="AH3884" i="2"/>
  <c r="AL3884" i="2" s="1"/>
  <c r="AI3884" i="2"/>
  <c r="AJ3884" i="2"/>
  <c r="AF3885" i="2"/>
  <c r="AK3885" i="2"/>
  <c r="AL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L3892" i="2" s="1"/>
  <c r="AF3893" i="2"/>
  <c r="AK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I3899" i="2"/>
  <c r="AJ3899" i="2"/>
  <c r="AF3900" i="2"/>
  <c r="AK3900" i="2" s="1"/>
  <c r="AG3900" i="2"/>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L3915" i="2" s="1"/>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L3925" i="2" s="1"/>
  <c r="AI3925" i="2"/>
  <c r="AJ3925" i="2"/>
  <c r="AF3926" i="2"/>
  <c r="AK3926" i="2"/>
  <c r="AG3926" i="2"/>
  <c r="AH3926" i="2"/>
  <c r="AI3926" i="2"/>
  <c r="AJ3926" i="2"/>
  <c r="AF3927" i="2"/>
  <c r="AK3927" i="2" s="1"/>
  <c r="AL3927" i="2" s="1"/>
  <c r="AG3927" i="2"/>
  <c r="AH3927" i="2"/>
  <c r="AI3927" i="2"/>
  <c r="AJ3927" i="2"/>
  <c r="AF3928" i="2"/>
  <c r="AK3928" i="2" s="1"/>
  <c r="AG3928" i="2"/>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s="1"/>
  <c r="AG3936" i="2"/>
  <c r="AH3936" i="2"/>
  <c r="AI3936" i="2"/>
  <c r="AL3936" i="2" s="1"/>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c r="AG3948" i="2"/>
  <c r="AL3948" i="2" s="1"/>
  <c r="AH3948" i="2"/>
  <c r="AI3948" i="2"/>
  <c r="AJ3948" i="2"/>
  <c r="AF3949" i="2"/>
  <c r="AK3949" i="2" s="1"/>
  <c r="AG3949" i="2"/>
  <c r="AH3949" i="2"/>
  <c r="AI3949" i="2"/>
  <c r="AJ3949" i="2"/>
  <c r="AF3950" i="2"/>
  <c r="AK3950" i="2"/>
  <c r="AG3950" i="2"/>
  <c r="AH3950" i="2"/>
  <c r="AL3950" i="2" s="1"/>
  <c r="AI3950" i="2"/>
  <c r="AJ3950" i="2"/>
  <c r="AF3951" i="2"/>
  <c r="AK3951" i="2"/>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H3955" i="2"/>
  <c r="AI3955" i="2"/>
  <c r="AJ3955" i="2"/>
  <c r="AF3956" i="2"/>
  <c r="AK3956" i="2"/>
  <c r="AG3956" i="2"/>
  <c r="AH3956" i="2"/>
  <c r="AI3956" i="2"/>
  <c r="AJ3956" i="2"/>
  <c r="AL3956" i="2" s="1"/>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s="1"/>
  <c r="AG4043" i="2"/>
  <c r="AH4043" i="2"/>
  <c r="AI4043" i="2"/>
  <c r="AJ4043" i="2"/>
  <c r="AF4044" i="2"/>
  <c r="AK4044" i="2" s="1"/>
  <c r="AL4044" i="2" s="1"/>
  <c r="AG4044" i="2"/>
  <c r="AH4044" i="2"/>
  <c r="AI4044" i="2"/>
  <c r="AJ4044" i="2"/>
  <c r="AF4045" i="2"/>
  <c r="AK4045" i="2"/>
  <c r="AG4045" i="2"/>
  <c r="AH4045" i="2"/>
  <c r="AI4045" i="2"/>
  <c r="AJ4045" i="2"/>
  <c r="AF4046" i="2"/>
  <c r="AK4046" i="2" s="1"/>
  <c r="AG4046" i="2"/>
  <c r="AH4046" i="2"/>
  <c r="AI4046" i="2"/>
  <c r="AJ4046" i="2"/>
  <c r="AF4047" i="2"/>
  <c r="AK4047" i="2"/>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c r="AG4051" i="2"/>
  <c r="AH4051" i="2"/>
  <c r="AI4051" i="2"/>
  <c r="AJ4051" i="2"/>
  <c r="AF4052" i="2"/>
  <c r="AK4052" i="2" s="1"/>
  <c r="AG4052" i="2"/>
  <c r="AH4052" i="2"/>
  <c r="AL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L4072" i="2" s="1"/>
  <c r="AI4072" i="2"/>
  <c r="AJ4072" i="2"/>
  <c r="AF4073" i="2"/>
  <c r="AK4073" i="2"/>
  <c r="AG4073" i="2"/>
  <c r="AH4073" i="2"/>
  <c r="AI4073" i="2"/>
  <c r="AJ4073" i="2"/>
  <c r="AF4074" i="2"/>
  <c r="AK4074" i="2"/>
  <c r="AG4074" i="2"/>
  <c r="AH4074" i="2"/>
  <c r="AI4074" i="2"/>
  <c r="AJ4074" i="2"/>
  <c r="AF4075" i="2"/>
  <c r="AK4075" i="2"/>
  <c r="AG4075" i="2"/>
  <c r="AH4075" i="2"/>
  <c r="AL4075" i="2" s="1"/>
  <c r="AI4075" i="2"/>
  <c r="AJ4075" i="2"/>
  <c r="AF4076" i="2"/>
  <c r="AK4076" i="2"/>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s="1"/>
  <c r="AG4081" i="2"/>
  <c r="AL4081" i="2" s="1"/>
  <c r="AH4081" i="2"/>
  <c r="AI4081" i="2"/>
  <c r="AJ4081" i="2"/>
  <c r="AF4082" i="2"/>
  <c r="AK4082" i="2" s="1"/>
  <c r="AG4082" i="2"/>
  <c r="AH4082" i="2"/>
  <c r="AI4082" i="2"/>
  <c r="AJ4082" i="2"/>
  <c r="AF4083" i="2"/>
  <c r="AK4083" i="2"/>
  <c r="AG4083" i="2"/>
  <c r="AH4083" i="2"/>
  <c r="AI4083" i="2"/>
  <c r="AJ4083" i="2"/>
  <c r="AF4084" i="2"/>
  <c r="AK4084" i="2" s="1"/>
  <c r="AG4084" i="2"/>
  <c r="AL4084" i="2" s="1"/>
  <c r="AH4084" i="2"/>
  <c r="AI4084" i="2"/>
  <c r="AJ4084" i="2"/>
  <c r="AF4085" i="2"/>
  <c r="AK4085" i="2" s="1"/>
  <c r="AG4085" i="2"/>
  <c r="AH4085" i="2"/>
  <c r="AI4085" i="2"/>
  <c r="AJ4085" i="2"/>
  <c r="AF4086" i="2"/>
  <c r="AK4086" i="2"/>
  <c r="AG4086" i="2"/>
  <c r="AH4086" i="2"/>
  <c r="AI4086" i="2"/>
  <c r="AJ4086" i="2"/>
  <c r="AF4087" i="2"/>
  <c r="AK4087" i="2" s="1"/>
  <c r="AL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L4098" i="2" s="1"/>
  <c r="AG4098" i="2"/>
  <c r="AH4098" i="2"/>
  <c r="AI4098" i="2"/>
  <c r="AJ4098" i="2"/>
  <c r="AF4099" i="2"/>
  <c r="AK4099" i="2" s="1"/>
  <c r="AG4099" i="2"/>
  <c r="AH4099" i="2"/>
  <c r="AI4099" i="2"/>
  <c r="AJ4099" i="2"/>
  <c r="AF4100" i="2"/>
  <c r="AK4100" i="2"/>
  <c r="AG4100" i="2"/>
  <c r="AH4100" i="2"/>
  <c r="AI4100" i="2"/>
  <c r="AJ4100" i="2"/>
  <c r="AF4101" i="2"/>
  <c r="AK4101" i="2" s="1"/>
  <c r="AG4101" i="2"/>
  <c r="AL4101" i="2" s="1"/>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L4111" i="2" s="1"/>
  <c r="AI4111" i="2"/>
  <c r="AJ4111" i="2"/>
  <c r="AF4112" i="2"/>
  <c r="AK4112" i="2" s="1"/>
  <c r="AG4112" i="2"/>
  <c r="AH4112" i="2"/>
  <c r="AI4112" i="2"/>
  <c r="AJ4112" i="2"/>
  <c r="AF4113" i="2"/>
  <c r="AK4113" i="2"/>
  <c r="AG4113" i="2"/>
  <c r="AH4113" i="2"/>
  <c r="AI4113" i="2"/>
  <c r="AJ4113" i="2"/>
  <c r="AF4114" i="2"/>
  <c r="AK4114" i="2" s="1"/>
  <c r="AG4114" i="2"/>
  <c r="AL4114" i="2" s="1"/>
  <c r="AH4114" i="2"/>
  <c r="AI4114" i="2"/>
  <c r="AJ4114" i="2"/>
  <c r="AF4115" i="2"/>
  <c r="AK4115" i="2" s="1"/>
  <c r="AG4115" i="2"/>
  <c r="AH4115" i="2"/>
  <c r="AI4115" i="2"/>
  <c r="AJ4115" i="2"/>
  <c r="AF4116" i="2"/>
  <c r="AK4116" i="2"/>
  <c r="AG4116" i="2"/>
  <c r="AL4116" i="2" s="1"/>
  <c r="AH4116" i="2"/>
  <c r="AI4116" i="2"/>
  <c r="AJ4116" i="2"/>
  <c r="AF4117" i="2"/>
  <c r="AG4117" i="2"/>
  <c r="AH4117" i="2"/>
  <c r="AI4117" i="2"/>
  <c r="AJ4117" i="2"/>
  <c r="AK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L4129" i="2" s="1"/>
  <c r="AI4129" i="2"/>
  <c r="AJ4129" i="2"/>
  <c r="AF4130" i="2"/>
  <c r="AK4130" i="2"/>
  <c r="AG4130" i="2"/>
  <c r="AH4130" i="2"/>
  <c r="AI4130" i="2"/>
  <c r="AJ4130" i="2"/>
  <c r="AF4131" i="2"/>
  <c r="AK4131" i="2"/>
  <c r="AG4131" i="2"/>
  <c r="AL4131" i="2"/>
  <c r="AH4131" i="2"/>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L4145" i="2" s="1"/>
  <c r="AG4145" i="2"/>
  <c r="AH4145" i="2"/>
  <c r="AI4145" i="2"/>
  <c r="AJ4145" i="2"/>
  <c r="AF4146" i="2"/>
  <c r="AK4146" i="2" s="1"/>
  <c r="AG4146" i="2"/>
  <c r="AH4146" i="2"/>
  <c r="AI4146" i="2"/>
  <c r="AJ4146" i="2"/>
  <c r="AF4147" i="2"/>
  <c r="AK4147" i="2"/>
  <c r="AG4147" i="2"/>
  <c r="AH4147" i="2"/>
  <c r="AI4147" i="2"/>
  <c r="AJ4147" i="2"/>
  <c r="AF4148" i="2"/>
  <c r="AK4148" i="2"/>
  <c r="AG4148" i="2"/>
  <c r="AH4148" i="2"/>
  <c r="AI4148" i="2"/>
  <c r="AJ4148" i="2"/>
  <c r="AF4149" i="2"/>
  <c r="AK4149" i="2" s="1"/>
  <c r="AL4149" i="2" s="1"/>
  <c r="AG4149" i="2"/>
  <c r="AH4149" i="2"/>
  <c r="AI4149" i="2"/>
  <c r="AJ4149" i="2"/>
  <c r="AF4150" i="2"/>
  <c r="AK4150" i="2"/>
  <c r="AG4150" i="2"/>
  <c r="AH4150" i="2"/>
  <c r="AI4150" i="2"/>
  <c r="AJ4150" i="2"/>
  <c r="AF4151" i="2"/>
  <c r="AK4151" i="2" s="1"/>
  <c r="AL4151" i="2" s="1"/>
  <c r="AG4151" i="2"/>
  <c r="AH4151" i="2"/>
  <c r="AI4151" i="2"/>
  <c r="AJ4151" i="2"/>
  <c r="AF4152" i="2"/>
  <c r="AK4152" i="2"/>
  <c r="AG4152" i="2"/>
  <c r="AH4152" i="2"/>
  <c r="AI4152" i="2"/>
  <c r="AJ4152" i="2"/>
  <c r="AF4153" i="2"/>
  <c r="AK4153" i="2" s="1"/>
  <c r="AL4153" i="2" s="1"/>
  <c r="AG4153" i="2"/>
  <c r="AH4153" i="2"/>
  <c r="AI4153" i="2"/>
  <c r="AJ4153" i="2"/>
  <c r="AF4154" i="2"/>
  <c r="AK4154" i="2"/>
  <c r="AG4154" i="2"/>
  <c r="AH4154" i="2"/>
  <c r="AI4154" i="2"/>
  <c r="AJ4154" i="2"/>
  <c r="AF4155" i="2"/>
  <c r="AK4155" i="2" s="1"/>
  <c r="AL4155" i="2" s="1"/>
  <c r="AG4155" i="2"/>
  <c r="AH4155" i="2"/>
  <c r="AI4155" i="2"/>
  <c r="AJ4155" i="2"/>
  <c r="AF4156" i="2"/>
  <c r="AK4156" i="2"/>
  <c r="AG4156" i="2"/>
  <c r="AH4156" i="2"/>
  <c r="AI4156" i="2"/>
  <c r="AJ4156" i="2"/>
  <c r="AL4156" i="2" s="1"/>
  <c r="AF4157" i="2"/>
  <c r="AK4157" i="2" s="1"/>
  <c r="AG4157" i="2"/>
  <c r="AH4157" i="2"/>
  <c r="AI4157" i="2"/>
  <c r="AJ4157" i="2"/>
  <c r="AF4158" i="2"/>
  <c r="AK4158" i="2"/>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s="1"/>
  <c r="AG4162" i="2"/>
  <c r="AH4162" i="2"/>
  <c r="AI4162" i="2"/>
  <c r="AJ4162" i="2"/>
  <c r="AL4162" i="2" s="1"/>
  <c r="AF4163" i="2"/>
  <c r="AK4163" i="2" s="1"/>
  <c r="AG4163" i="2"/>
  <c r="AH4163" i="2"/>
  <c r="AL4163" i="2" s="1"/>
  <c r="AI4163" i="2"/>
  <c r="AJ4163" i="2"/>
  <c r="AF4164" i="2"/>
  <c r="AK4164" i="2" s="1"/>
  <c r="AG4164" i="2"/>
  <c r="AH4164" i="2"/>
  <c r="AI4164" i="2"/>
  <c r="AJ4164" i="2"/>
  <c r="AF4165" i="2"/>
  <c r="AK4165" i="2" s="1"/>
  <c r="AG4165" i="2"/>
  <c r="AH4165" i="2"/>
  <c r="AI4165" i="2"/>
  <c r="AJ4165" i="2"/>
  <c r="AL4165" i="2" s="1"/>
  <c r="AF4166" i="2"/>
  <c r="AK4166" i="2" s="1"/>
  <c r="AG4166" i="2"/>
  <c r="AH4166" i="2"/>
  <c r="AI4166" i="2"/>
  <c r="AJ4166" i="2"/>
  <c r="AF4167" i="2"/>
  <c r="AK4167" i="2" s="1"/>
  <c r="AG4167" i="2"/>
  <c r="AH4167" i="2"/>
  <c r="AI4167" i="2"/>
  <c r="AJ4167" i="2"/>
  <c r="AF4168" i="2"/>
  <c r="AK4168" i="2" s="1"/>
  <c r="AL4168" i="2" s="1"/>
  <c r="AG4168" i="2"/>
  <c r="AH4168" i="2"/>
  <c r="AI4168" i="2"/>
  <c r="AJ4168" i="2"/>
  <c r="AF4169" i="2"/>
  <c r="AK4169" i="2" s="1"/>
  <c r="AG4169" i="2"/>
  <c r="AH4169" i="2"/>
  <c r="AI4169" i="2"/>
  <c r="AJ4169" i="2"/>
  <c r="AF4170" i="2"/>
  <c r="AK4170" i="2" s="1"/>
  <c r="AG4170" i="2"/>
  <c r="AH4170" i="2"/>
  <c r="AL4170" i="2"/>
  <c r="AI4170" i="2"/>
  <c r="AJ4170" i="2"/>
  <c r="AF4171" i="2"/>
  <c r="AK4171" i="2"/>
  <c r="AG4171" i="2"/>
  <c r="AH4171" i="2"/>
  <c r="AI4171" i="2"/>
  <c r="AJ4171" i="2"/>
  <c r="AF4172" i="2"/>
  <c r="AK4172" i="2"/>
  <c r="AG4172" i="2"/>
  <c r="AH4172" i="2"/>
  <c r="AL4172" i="2" s="1"/>
  <c r="AI4172" i="2"/>
  <c r="AJ4172" i="2"/>
  <c r="AF4173" i="2"/>
  <c r="AK4173" i="2"/>
  <c r="AG4173" i="2"/>
  <c r="AH4173" i="2"/>
  <c r="AI4173" i="2"/>
  <c r="AJ4173" i="2"/>
  <c r="AF4174" i="2"/>
  <c r="AK4174" i="2"/>
  <c r="AG4174" i="2"/>
  <c r="AH4174" i="2"/>
  <c r="AL4174" i="2" s="1"/>
  <c r="AI4174" i="2"/>
  <c r="AJ4174" i="2"/>
  <c r="AF4175" i="2"/>
  <c r="AK4175" i="2"/>
  <c r="AG4175" i="2"/>
  <c r="AH4175" i="2"/>
  <c r="AI4175" i="2"/>
  <c r="AJ4175" i="2"/>
  <c r="AF4176" i="2"/>
  <c r="AK4176" i="2"/>
  <c r="AG4176" i="2"/>
  <c r="AH4176" i="2"/>
  <c r="AL4176" i="2" s="1"/>
  <c r="AI4176" i="2"/>
  <c r="AJ4176" i="2"/>
  <c r="AF4177" i="2"/>
  <c r="AK4177" i="2"/>
  <c r="AG4177" i="2"/>
  <c r="AH4177" i="2"/>
  <c r="AI4177" i="2"/>
  <c r="AJ4177" i="2"/>
  <c r="AF4178" i="2"/>
  <c r="AK4178" i="2"/>
  <c r="AG4178" i="2"/>
  <c r="AH4178" i="2"/>
  <c r="AL4178" i="2" s="1"/>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c r="AG4183" i="2"/>
  <c r="AH4183" i="2"/>
  <c r="AI4183" i="2"/>
  <c r="AJ4183" i="2"/>
  <c r="AF4184" i="2"/>
  <c r="AK4184" i="2" s="1"/>
  <c r="AG4184" i="2"/>
  <c r="AL4184" i="2" s="1"/>
  <c r="AH4184" i="2"/>
  <c r="AI4184" i="2"/>
  <c r="AJ4184" i="2"/>
  <c r="AF4185" i="2"/>
  <c r="AK4185" i="2"/>
  <c r="AG4185" i="2"/>
  <c r="AH4185" i="2"/>
  <c r="AI4185" i="2"/>
  <c r="AJ4185" i="2"/>
  <c r="AF4186" i="2"/>
  <c r="AK4186" i="2" s="1"/>
  <c r="AG4186" i="2"/>
  <c r="AL4186" i="2" s="1"/>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c r="AG4190" i="2"/>
  <c r="AH4190" i="2"/>
  <c r="AI4190" i="2"/>
  <c r="AJ4190" i="2"/>
  <c r="AL4190" i="2" s="1"/>
  <c r="AF4191" i="2"/>
  <c r="AK4191" i="2"/>
  <c r="AG4191" i="2"/>
  <c r="AH4191" i="2"/>
  <c r="AI4191" i="2"/>
  <c r="AJ4191" i="2"/>
  <c r="AF4192" i="2"/>
  <c r="AK4192" i="2" s="1"/>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L4195" i="2" s="1"/>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H4199" i="2"/>
  <c r="AL4199" i="2" s="1"/>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H4204" i="2"/>
  <c r="AL4204" i="2" s="1"/>
  <c r="AI4204" i="2"/>
  <c r="AJ4204" i="2"/>
  <c r="AF4205" i="2"/>
  <c r="AK4205" i="2"/>
  <c r="AG4205" i="2"/>
  <c r="AH4205" i="2"/>
  <c r="AI4205" i="2"/>
  <c r="AJ4205" i="2"/>
  <c r="AF4206" i="2"/>
  <c r="AK4206" i="2" s="1"/>
  <c r="AG4206" i="2"/>
  <c r="AH4206" i="2"/>
  <c r="AI4206" i="2"/>
  <c r="AJ4206" i="2"/>
  <c r="AF4207" i="2"/>
  <c r="AK4207" i="2"/>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F4216" i="2"/>
  <c r="AK4216" i="2"/>
  <c r="AG4216" i="2"/>
  <c r="AH4216" i="2"/>
  <c r="AI4216" i="2"/>
  <c r="AJ4216" i="2"/>
  <c r="AF4217" i="2"/>
  <c r="AK4217" i="2" s="1"/>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s="1"/>
  <c r="AG4221" i="2"/>
  <c r="AH4221" i="2"/>
  <c r="AI4221" i="2"/>
  <c r="AJ4221" i="2"/>
  <c r="AF4222" i="2"/>
  <c r="AK4222" i="2" s="1"/>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L4228" i="2" s="1"/>
  <c r="AI4228" i="2"/>
  <c r="AJ4228" i="2"/>
  <c r="AF4229" i="2"/>
  <c r="AK4229" i="2"/>
  <c r="AG4229" i="2"/>
  <c r="AH4229" i="2"/>
  <c r="AI4229" i="2"/>
  <c r="AJ4229" i="2"/>
  <c r="AF4230" i="2"/>
  <c r="AK4230" i="2" s="1"/>
  <c r="AL4230" i="2" s="1"/>
  <c r="AG4230" i="2"/>
  <c r="AH4230" i="2"/>
  <c r="AI4230" i="2"/>
  <c r="AJ4230" i="2"/>
  <c r="AF4231" i="2"/>
  <c r="AK4231" i="2"/>
  <c r="AG4231" i="2"/>
  <c r="AH4231" i="2"/>
  <c r="AI4231" i="2"/>
  <c r="AJ4231" i="2"/>
  <c r="AF4232" i="2"/>
  <c r="AK4232" i="2" s="1"/>
  <c r="AG4232" i="2"/>
  <c r="AH4232" i="2"/>
  <c r="AL4232" i="2" s="1"/>
  <c r="AI4232" i="2"/>
  <c r="AJ4232" i="2"/>
  <c r="AF4233" i="2"/>
  <c r="AK4233" i="2"/>
  <c r="AG4233" i="2"/>
  <c r="AH4233" i="2"/>
  <c r="AI4233" i="2"/>
  <c r="AJ4233" i="2"/>
  <c r="AF4234" i="2"/>
  <c r="AK4234" i="2" s="1"/>
  <c r="AG4234" i="2"/>
  <c r="AH4234" i="2"/>
  <c r="AL4234" i="2" s="1"/>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s="1"/>
  <c r="AG4250" i="2"/>
  <c r="AL4250" i="2"/>
  <c r="AH4250" i="2"/>
  <c r="AI4250" i="2"/>
  <c r="AJ4250" i="2"/>
  <c r="AF4251" i="2"/>
  <c r="AK4251" i="2" s="1"/>
  <c r="AG4251" i="2"/>
  <c r="AH4251" i="2"/>
  <c r="AI4251" i="2"/>
  <c r="AJ4251" i="2"/>
  <c r="AF4252" i="2"/>
  <c r="AK4252" i="2"/>
  <c r="AG4252" i="2"/>
  <c r="AH4252" i="2"/>
  <c r="AI4252" i="2"/>
  <c r="AJ4252" i="2"/>
  <c r="AL4252" i="2" s="1"/>
  <c r="AF4253" i="2"/>
  <c r="AK4253" i="2"/>
  <c r="AG4253" i="2"/>
  <c r="AH4253" i="2"/>
  <c r="AI4253" i="2"/>
  <c r="AJ4253" i="2"/>
  <c r="AF4254" i="2"/>
  <c r="AK4254" i="2" s="1"/>
  <c r="AL4254" i="2" s="1"/>
  <c r="AG4254" i="2"/>
  <c r="AH4254" i="2"/>
  <c r="AI4254" i="2"/>
  <c r="AJ4254" i="2"/>
  <c r="AF4255" i="2"/>
  <c r="AK4255" i="2"/>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L4258" i="2" s="1"/>
  <c r="AJ4258" i="2"/>
  <c r="AF4259" i="2"/>
  <c r="AK4259" i="2" s="1"/>
  <c r="AL4259" i="2" s="1"/>
  <c r="AG4259" i="2"/>
  <c r="AH4259" i="2"/>
  <c r="AI4259" i="2"/>
  <c r="AJ4259" i="2"/>
  <c r="AF4260" i="2"/>
  <c r="AK4260" i="2"/>
  <c r="AG4260" i="2"/>
  <c r="AH4260" i="2"/>
  <c r="AI4260" i="2"/>
  <c r="AJ4260" i="2"/>
  <c r="AF4261" i="2"/>
  <c r="AK4261" i="2"/>
  <c r="AG4261" i="2"/>
  <c r="AH4261" i="2"/>
  <c r="AI4261" i="2"/>
  <c r="AJ4261" i="2"/>
  <c r="AF4262" i="2"/>
  <c r="AK4262" i="2" s="1"/>
  <c r="AG4262" i="2"/>
  <c r="AH4262" i="2"/>
  <c r="AI4262" i="2"/>
  <c r="AJ4262" i="2"/>
  <c r="AL4262" i="2" s="1"/>
  <c r="AF4263" i="2"/>
  <c r="AK4263" i="2"/>
  <c r="AG4263" i="2"/>
  <c r="AH4263" i="2"/>
  <c r="AI4263" i="2"/>
  <c r="AJ4263" i="2"/>
  <c r="AF4264" i="2"/>
  <c r="AK4264" i="2" s="1"/>
  <c r="AG4264" i="2"/>
  <c r="AH4264" i="2"/>
  <c r="AI4264" i="2"/>
  <c r="AJ4264" i="2"/>
  <c r="AF4265" i="2"/>
  <c r="AK4265" i="2"/>
  <c r="AL4265" i="2" s="1"/>
  <c r="AG4265" i="2"/>
  <c r="AH4265" i="2"/>
  <c r="AI4265" i="2"/>
  <c r="AJ4265" i="2"/>
  <c r="AF4266" i="2"/>
  <c r="AK4266" i="2"/>
  <c r="AG4266" i="2"/>
  <c r="AH4266" i="2"/>
  <c r="AI4266" i="2"/>
  <c r="AJ4266" i="2"/>
  <c r="AF4267" i="2"/>
  <c r="AK4267" i="2" s="1"/>
  <c r="AL4267" i="2" s="1"/>
  <c r="AG4267" i="2"/>
  <c r="AH4267" i="2"/>
  <c r="AI4267" i="2"/>
  <c r="AJ4267" i="2"/>
  <c r="AF4268" i="2"/>
  <c r="AK4268" i="2"/>
  <c r="AG4268" i="2"/>
  <c r="AH4268" i="2"/>
  <c r="AI4268" i="2"/>
  <c r="AJ4268" i="2"/>
  <c r="AF4269" i="2"/>
  <c r="AK4269" i="2" s="1"/>
  <c r="AG4269" i="2"/>
  <c r="AH4269" i="2"/>
  <c r="AI4269" i="2"/>
  <c r="AJ4269" i="2"/>
  <c r="AF4270" i="2"/>
  <c r="AG4270" i="2"/>
  <c r="AH4270" i="2"/>
  <c r="AL4270" i="2"/>
  <c r="AI4270" i="2"/>
  <c r="AJ4270" i="2"/>
  <c r="AK4270" i="2"/>
  <c r="AF4271" i="2"/>
  <c r="AK4271" i="2" s="1"/>
  <c r="AL4271" i="2" s="1"/>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s="1"/>
  <c r="AG4278" i="2"/>
  <c r="AH4278" i="2"/>
  <c r="AI4278" i="2"/>
  <c r="AJ4278" i="2"/>
  <c r="AF4279" i="2"/>
  <c r="AK4279" i="2"/>
  <c r="AG4279" i="2"/>
  <c r="AH4279" i="2"/>
  <c r="AI4279" i="2"/>
  <c r="AJ4279" i="2"/>
  <c r="AF4280" i="2"/>
  <c r="AK4280" i="2" s="1"/>
  <c r="AG4280" i="2"/>
  <c r="AH4280" i="2"/>
  <c r="AI4280" i="2"/>
  <c r="AJ4280" i="2"/>
  <c r="AF4281" i="2"/>
  <c r="AK4281" i="2" s="1"/>
  <c r="AG4281" i="2"/>
  <c r="AH4281" i="2"/>
  <c r="AI4281" i="2"/>
  <c r="AJ4281" i="2"/>
  <c r="AF4282" i="2"/>
  <c r="AK4282" i="2"/>
  <c r="AG4282" i="2"/>
  <c r="AH4282" i="2"/>
  <c r="AI4282" i="2"/>
  <c r="AJ4282" i="2"/>
  <c r="AF4283" i="2"/>
  <c r="AK4283" i="2" s="1"/>
  <c r="AG4283" i="2"/>
  <c r="AH4283" i="2"/>
  <c r="AI4283" i="2"/>
  <c r="AJ4283" i="2"/>
  <c r="AF4284" i="2"/>
  <c r="AK4284" i="2"/>
  <c r="AG4284" i="2"/>
  <c r="AH4284" i="2"/>
  <c r="AI4284" i="2"/>
  <c r="AJ4284" i="2"/>
  <c r="AF4285" i="2"/>
  <c r="AK4285" i="2" s="1"/>
  <c r="AG4285" i="2"/>
  <c r="AH4285" i="2"/>
  <c r="AI4285" i="2"/>
  <c r="AJ4285" i="2"/>
  <c r="AF4286" i="2"/>
  <c r="AG4286" i="2"/>
  <c r="AH4286" i="2"/>
  <c r="AI4286" i="2"/>
  <c r="AJ4286" i="2"/>
  <c r="AK4286" i="2"/>
  <c r="AF4287" i="2"/>
  <c r="AK4287" i="2" s="1"/>
  <c r="AG4287" i="2"/>
  <c r="AH4287" i="2"/>
  <c r="AI4287" i="2"/>
  <c r="AJ4287" i="2"/>
  <c r="AF4288" i="2"/>
  <c r="AK4288" i="2"/>
  <c r="AG4288" i="2"/>
  <c r="AH4288" i="2"/>
  <c r="AI4288" i="2"/>
  <c r="AJ4288" i="2"/>
  <c r="AF4289" i="2"/>
  <c r="AK4289" i="2" s="1"/>
  <c r="AG4289" i="2"/>
  <c r="AH4289" i="2"/>
  <c r="AI4289" i="2"/>
  <c r="AJ4289" i="2"/>
  <c r="AF4290" i="2"/>
  <c r="AK4290" i="2" s="1"/>
  <c r="AG4290" i="2"/>
  <c r="AH4290" i="2"/>
  <c r="AI4290" i="2"/>
  <c r="AJ4290" i="2"/>
  <c r="AF4291" i="2"/>
  <c r="AK4291" i="2"/>
  <c r="AL4291" i="2" s="1"/>
  <c r="AG4291" i="2"/>
  <c r="AH4291" i="2"/>
  <c r="AI4291" i="2"/>
  <c r="AJ4291" i="2"/>
  <c r="AF4292" i="2"/>
  <c r="AK4292" i="2" s="1"/>
  <c r="AG4292" i="2"/>
  <c r="AH4292" i="2"/>
  <c r="AI4292" i="2"/>
  <c r="AJ4292" i="2"/>
  <c r="AF4293" i="2"/>
  <c r="AK4293" i="2"/>
  <c r="AG4293" i="2"/>
  <c r="AH4293" i="2"/>
  <c r="AL4293" i="2" s="1"/>
  <c r="AI4293" i="2"/>
  <c r="AJ4293" i="2"/>
  <c r="AF4294" i="2"/>
  <c r="AK4294" i="2" s="1"/>
  <c r="AL4294" i="2" s="1"/>
  <c r="AG4294" i="2"/>
  <c r="AH4294" i="2"/>
  <c r="AI4294" i="2"/>
  <c r="AJ4294" i="2"/>
  <c r="AF4295" i="2"/>
  <c r="AK4295" i="2" s="1"/>
  <c r="AG4295" i="2"/>
  <c r="AH4295" i="2"/>
  <c r="AI4295" i="2"/>
  <c r="AJ4295" i="2"/>
  <c r="AF4296" i="2"/>
  <c r="AK4296" i="2" s="1"/>
  <c r="AG4296" i="2"/>
  <c r="AL4296" i="2" s="1"/>
  <c r="AH4296" i="2"/>
  <c r="AI4296" i="2"/>
  <c r="AJ4296" i="2"/>
  <c r="AF4297" i="2"/>
  <c r="AK4297" i="2"/>
  <c r="AG4297" i="2"/>
  <c r="AH4297" i="2"/>
  <c r="AI4297" i="2"/>
  <c r="AJ4297" i="2"/>
  <c r="AL4297" i="2" s="1"/>
  <c r="AF4298" i="2"/>
  <c r="AK4298" i="2"/>
  <c r="AG4298" i="2"/>
  <c r="AH4298" i="2"/>
  <c r="AI4298" i="2"/>
  <c r="AJ4298" i="2"/>
  <c r="AF4299" i="2"/>
  <c r="AK4299" i="2"/>
  <c r="AG4299" i="2"/>
  <c r="AH4299" i="2"/>
  <c r="AI4299" i="2"/>
  <c r="AJ4299" i="2"/>
  <c r="AL4299" i="2" s="1"/>
  <c r="AF4300" i="2"/>
  <c r="AK4300" i="2"/>
  <c r="AG4300" i="2"/>
  <c r="AH4300" i="2"/>
  <c r="AI4300" i="2"/>
  <c r="AJ4300" i="2"/>
  <c r="AF4301" i="2"/>
  <c r="AK4301" i="2"/>
  <c r="AG4301" i="2"/>
  <c r="AH4301" i="2"/>
  <c r="AI4301" i="2"/>
  <c r="AL4301" i="2" s="1"/>
  <c r="AJ4301" i="2"/>
  <c r="AF4302" i="2"/>
  <c r="AK4302" i="2"/>
  <c r="AG4302" i="2"/>
  <c r="AH4302" i="2"/>
  <c r="AI4302" i="2"/>
  <c r="AJ4302" i="2"/>
  <c r="AF4303" i="2"/>
  <c r="AK4303" i="2" s="1"/>
  <c r="AG4303" i="2"/>
  <c r="AH4303" i="2"/>
  <c r="AI4303" i="2"/>
  <c r="AJ4303" i="2"/>
  <c r="AF4304" i="2"/>
  <c r="AK4304" i="2"/>
  <c r="AG4304" i="2"/>
  <c r="AH4304" i="2"/>
  <c r="AL4304" i="2" s="1"/>
  <c r="AI4304" i="2"/>
  <c r="AJ4304" i="2"/>
  <c r="AF4305" i="2"/>
  <c r="AK4305" i="2"/>
  <c r="AG4305" i="2"/>
  <c r="AH4305" i="2"/>
  <c r="AI4305" i="2"/>
  <c r="AJ4305" i="2"/>
  <c r="AF4306" i="2"/>
  <c r="AK4306" i="2" s="1"/>
  <c r="AL4306" i="2"/>
  <c r="AG4306" i="2"/>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c r="AG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L4322" i="2" s="1"/>
  <c r="AI4322" i="2"/>
  <c r="AJ4322" i="2"/>
  <c r="AF4323" i="2"/>
  <c r="AK4323" i="2"/>
  <c r="AG4323" i="2"/>
  <c r="AH4323" i="2"/>
  <c r="AI4323" i="2"/>
  <c r="AJ4323" i="2"/>
  <c r="AF4324" i="2"/>
  <c r="AK4324" i="2"/>
  <c r="AG4324" i="2"/>
  <c r="AH4324" i="2"/>
  <c r="AI4324" i="2"/>
  <c r="AJ4324" i="2"/>
  <c r="AF4325" i="2"/>
  <c r="AK4325" i="2" s="1"/>
  <c r="AG4325" i="2"/>
  <c r="AL4325" i="2" s="1"/>
  <c r="AH4325" i="2"/>
  <c r="AI4325" i="2"/>
  <c r="AJ4325" i="2"/>
  <c r="AF4326" i="2"/>
  <c r="AK4326" i="2"/>
  <c r="AG4326" i="2"/>
  <c r="AH4326" i="2"/>
  <c r="AI4326" i="2"/>
  <c r="AJ4326" i="2"/>
  <c r="AF4327" i="2"/>
  <c r="AK4327" i="2" s="1"/>
  <c r="AG4327" i="2"/>
  <c r="AH4327" i="2"/>
  <c r="AL4327" i="2" s="1"/>
  <c r="AI4327" i="2"/>
  <c r="AJ4327" i="2"/>
  <c r="AF4328" i="2"/>
  <c r="AK4328" i="2"/>
  <c r="AG4328" i="2"/>
  <c r="AH4328" i="2"/>
  <c r="AI4328" i="2"/>
  <c r="AJ4328" i="2"/>
  <c r="AF4329" i="2"/>
  <c r="AK4329" i="2" s="1"/>
  <c r="AG4329" i="2"/>
  <c r="AH4329" i="2"/>
  <c r="AL4329" i="2" s="1"/>
  <c r="AI4329" i="2"/>
  <c r="AJ4329" i="2"/>
  <c r="AF4330" i="2"/>
  <c r="AK4330" i="2"/>
  <c r="AG4330" i="2"/>
  <c r="AH4330" i="2"/>
  <c r="AI4330" i="2"/>
  <c r="AJ4330" i="2"/>
  <c r="AF4331" i="2"/>
  <c r="AK4331" i="2" s="1"/>
  <c r="AG4331" i="2"/>
  <c r="AH4331" i="2"/>
  <c r="AI4331" i="2"/>
  <c r="AL4331" i="2" s="1"/>
  <c r="AJ4331" i="2"/>
  <c r="AF4332" i="2"/>
  <c r="AK4332" i="2"/>
  <c r="AG4332" i="2"/>
  <c r="AH4332" i="2"/>
  <c r="AI4332" i="2"/>
  <c r="AJ4332" i="2"/>
  <c r="AF4333" i="2"/>
  <c r="AK4333" i="2" s="1"/>
  <c r="AG4333" i="2"/>
  <c r="AH4333" i="2"/>
  <c r="AI4333" i="2"/>
  <c r="AJ4333" i="2"/>
  <c r="AL4333" i="2" s="1"/>
  <c r="AF4334" i="2"/>
  <c r="AK4334" i="2"/>
  <c r="AG4334" i="2"/>
  <c r="AH4334" i="2"/>
  <c r="AI4334" i="2"/>
  <c r="AJ4334" i="2"/>
  <c r="AF4335" i="2"/>
  <c r="AK4335" i="2" s="1"/>
  <c r="AG4335" i="2"/>
  <c r="AH4335" i="2"/>
  <c r="AI4335" i="2"/>
  <c r="AJ4335" i="2"/>
  <c r="AF4336" i="2"/>
  <c r="AK4336" i="2"/>
  <c r="AL4336" i="2" s="1"/>
  <c r="AG4336" i="2"/>
  <c r="AH4336" i="2"/>
  <c r="AI4336" i="2"/>
  <c r="AJ4336" i="2"/>
  <c r="AF4337" i="2"/>
  <c r="AK4337" i="2" s="1"/>
  <c r="AG4337" i="2"/>
  <c r="AH4337" i="2"/>
  <c r="AI4337" i="2"/>
  <c r="AJ4337" i="2"/>
  <c r="AF4338" i="2"/>
  <c r="AK4338" i="2"/>
  <c r="AG4338" i="2"/>
  <c r="AL4338" i="2" s="1"/>
  <c r="AH4338" i="2"/>
  <c r="AI4338" i="2"/>
  <c r="AJ4338" i="2"/>
  <c r="AF4339" i="2"/>
  <c r="AK4339" i="2" s="1"/>
  <c r="AG4339" i="2"/>
  <c r="AH4339" i="2"/>
  <c r="AI4339" i="2"/>
  <c r="AJ4339" i="2"/>
  <c r="AF4340" i="2"/>
  <c r="AK4340" i="2"/>
  <c r="AG4340" i="2"/>
  <c r="AL4340" i="2" s="1"/>
  <c r="AH4340" i="2"/>
  <c r="AI4340" i="2"/>
  <c r="AJ4340" i="2"/>
  <c r="AF4341" i="2"/>
  <c r="AK4341" i="2" s="1"/>
  <c r="AG4341" i="2"/>
  <c r="AH4341" i="2"/>
  <c r="AI4341" i="2"/>
  <c r="AJ4341" i="2"/>
  <c r="AF4342" i="2"/>
  <c r="AK4342" i="2"/>
  <c r="AG4342" i="2"/>
  <c r="AH4342" i="2"/>
  <c r="AL4342" i="2" s="1"/>
  <c r="AI4342" i="2"/>
  <c r="AJ4342" i="2"/>
  <c r="AF4343" i="2"/>
  <c r="AK4343" i="2" s="1"/>
  <c r="AG4343" i="2"/>
  <c r="AH4343" i="2"/>
  <c r="AI4343" i="2"/>
  <c r="AJ4343" i="2"/>
  <c r="AF4344" i="2"/>
  <c r="AK4344" i="2"/>
  <c r="AG4344" i="2"/>
  <c r="AH4344" i="2"/>
  <c r="AI4344" i="2"/>
  <c r="AJ4344" i="2"/>
  <c r="AF4345" i="2"/>
  <c r="AK4345" i="2" s="1"/>
  <c r="AG4345" i="2"/>
  <c r="AH4345" i="2"/>
  <c r="AI4345" i="2"/>
  <c r="AJ4345" i="2"/>
  <c r="AF4346" i="2"/>
  <c r="AK4346" i="2"/>
  <c r="AG4346" i="2"/>
  <c r="AH4346" i="2"/>
  <c r="AI4346" i="2"/>
  <c r="AJ4346" i="2"/>
  <c r="AF4347" i="2"/>
  <c r="AK4347" i="2" s="1"/>
  <c r="AG4347" i="2"/>
  <c r="AH4347" i="2"/>
  <c r="AI4347" i="2"/>
  <c r="AJ4347" i="2"/>
  <c r="AF4348" i="2"/>
  <c r="AK4348" i="2"/>
  <c r="AG4348" i="2"/>
  <c r="AH4348" i="2"/>
  <c r="AI4348" i="2"/>
  <c r="AJ4348" i="2"/>
  <c r="AF4349" i="2"/>
  <c r="AK4349" i="2"/>
  <c r="AL4349" i="2" s="1"/>
  <c r="AG4349" i="2"/>
  <c r="AH4349" i="2"/>
  <c r="AI4349" i="2"/>
  <c r="AJ4349" i="2"/>
  <c r="AF4350" i="2"/>
  <c r="AK4350" i="2"/>
  <c r="AG4350" i="2"/>
  <c r="AH4350" i="2"/>
  <c r="AI4350" i="2"/>
  <c r="AJ4350" i="2"/>
  <c r="AF4351" i="2"/>
  <c r="AK4351" i="2"/>
  <c r="AL4351" i="2" s="1"/>
  <c r="AG4351" i="2"/>
  <c r="AH4351" i="2"/>
  <c r="AI4351" i="2"/>
  <c r="AJ4351" i="2"/>
  <c r="AF4352" i="2"/>
  <c r="AK4352" i="2"/>
  <c r="AG4352" i="2"/>
  <c r="AH4352" i="2"/>
  <c r="AI4352" i="2"/>
  <c r="AJ4352" i="2"/>
  <c r="AF4353" i="2"/>
  <c r="AK4353" i="2"/>
  <c r="AL4353" i="2" s="1"/>
  <c r="AG4353" i="2"/>
  <c r="AH4353" i="2"/>
  <c r="AI4353" i="2"/>
  <c r="AJ4353" i="2"/>
  <c r="AF4354" i="2"/>
  <c r="AK4354" i="2"/>
  <c r="AG4354" i="2"/>
  <c r="AH4354" i="2"/>
  <c r="AI4354" i="2"/>
  <c r="AL4354" i="2" s="1"/>
  <c r="AJ4354" i="2"/>
  <c r="AF4355" i="2"/>
  <c r="AK4355" i="2" s="1"/>
  <c r="AL4355" i="2" s="1"/>
  <c r="AG4355" i="2"/>
  <c r="AH4355" i="2"/>
  <c r="AI4355" i="2"/>
  <c r="AJ4355" i="2"/>
  <c r="AF4356" i="2"/>
  <c r="AK4356" i="2" s="1"/>
  <c r="AG4356" i="2"/>
  <c r="AH4356" i="2"/>
  <c r="AI4356" i="2"/>
  <c r="AJ4356" i="2"/>
  <c r="AF4357" i="2"/>
  <c r="AK4357" i="2" s="1"/>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L4360" i="2" s="1"/>
  <c r="AF4361" i="2"/>
  <c r="AK4361" i="2" s="1"/>
  <c r="AG4361" i="2"/>
  <c r="AH4361" i="2"/>
  <c r="AI4361" i="2"/>
  <c r="AJ4361" i="2"/>
  <c r="AF4362" i="2"/>
  <c r="AK4362" i="2"/>
  <c r="AG4362" i="2"/>
  <c r="AH4362" i="2"/>
  <c r="AI4362" i="2"/>
  <c r="AJ4362" i="2"/>
  <c r="AF4363" i="2"/>
  <c r="AK4363" i="2" s="1"/>
  <c r="AG4363" i="2"/>
  <c r="AH4363" i="2"/>
  <c r="AI4363" i="2"/>
  <c r="AJ4363" i="2"/>
  <c r="AF4364" i="2"/>
  <c r="AK4364" i="2"/>
  <c r="AG4364" i="2"/>
  <c r="AH4364" i="2"/>
  <c r="AI4364" i="2"/>
  <c r="AJ4364" i="2"/>
  <c r="AF4365" i="2"/>
  <c r="AK4365" i="2"/>
  <c r="AG4365" i="2"/>
  <c r="AH4365" i="2"/>
  <c r="AI4365" i="2"/>
  <c r="AJ4365" i="2"/>
  <c r="AF4366" i="2"/>
  <c r="AK4366" i="2" s="1"/>
  <c r="AG4366" i="2"/>
  <c r="AH4366" i="2"/>
  <c r="AI4366" i="2"/>
  <c r="AJ4366" i="2"/>
  <c r="AF4367" i="2"/>
  <c r="AK4367" i="2"/>
  <c r="AG4367" i="2"/>
  <c r="AH4367" i="2"/>
  <c r="AI4367" i="2"/>
  <c r="AJ4367" i="2"/>
  <c r="AF4368" i="2"/>
  <c r="AK4368" i="2" s="1"/>
  <c r="AG4368" i="2"/>
  <c r="AH4368" i="2"/>
  <c r="AI4368" i="2"/>
  <c r="AJ4368" i="2"/>
  <c r="AF4369" i="2"/>
  <c r="AK4369" i="2"/>
  <c r="AG4369" i="2"/>
  <c r="AH4369" i="2"/>
  <c r="AI4369" i="2"/>
  <c r="AJ4369" i="2"/>
  <c r="AF4370" i="2"/>
  <c r="AK4370" i="2" s="1"/>
  <c r="AG4370" i="2"/>
  <c r="AH4370" i="2"/>
  <c r="AI4370" i="2"/>
  <c r="AJ4370" i="2"/>
  <c r="AF4371" i="2"/>
  <c r="AK4371" i="2"/>
  <c r="AG4371" i="2"/>
  <c r="AL4371" i="2" s="1"/>
  <c r="AH4371" i="2"/>
  <c r="AI4371" i="2"/>
  <c r="AJ4371" i="2"/>
  <c r="AF4372" i="2"/>
  <c r="AK4372" i="2"/>
  <c r="AG4372" i="2"/>
  <c r="AH4372" i="2"/>
  <c r="AI4372" i="2"/>
  <c r="AJ4372" i="2"/>
  <c r="AF4373" i="2"/>
  <c r="AK4373" i="2"/>
  <c r="AG4373" i="2"/>
  <c r="AL4373" i="2" s="1"/>
  <c r="AH4373" i="2"/>
  <c r="AI4373" i="2"/>
  <c r="AJ4373" i="2"/>
  <c r="AF4374" i="2"/>
  <c r="AK4374" i="2" s="1"/>
  <c r="AG4374" i="2"/>
  <c r="AH4374" i="2"/>
  <c r="AI4374" i="2"/>
  <c r="AJ4374" i="2"/>
  <c r="AL4374" i="2" s="1"/>
  <c r="AF4375" i="2"/>
  <c r="AK4375" i="2" s="1"/>
  <c r="AG4375" i="2"/>
  <c r="AH4375" i="2"/>
  <c r="AI4375" i="2"/>
  <c r="AJ4375" i="2"/>
  <c r="AF4376" i="2"/>
  <c r="AK4376" i="2"/>
  <c r="AG4376" i="2"/>
  <c r="AH4376" i="2"/>
  <c r="AI4376" i="2"/>
  <c r="AJ4376" i="2"/>
  <c r="AF4377" i="2"/>
  <c r="AK4377" i="2"/>
  <c r="AG4377" i="2"/>
  <c r="AH4377" i="2"/>
  <c r="AI4377" i="2"/>
  <c r="AJ4377" i="2"/>
  <c r="AF4378" i="2"/>
  <c r="AK4378" i="2" s="1"/>
  <c r="AG4378" i="2"/>
  <c r="AH4378" i="2"/>
  <c r="AI4378" i="2"/>
  <c r="AJ4378" i="2"/>
  <c r="AF4379" i="2"/>
  <c r="AK4379" i="2"/>
  <c r="AL4379" i="2" s="1"/>
  <c r="AG4379" i="2"/>
  <c r="AH4379" i="2"/>
  <c r="AI4379" i="2"/>
  <c r="AJ4379" i="2"/>
  <c r="AF4380" i="2"/>
  <c r="AK4380" i="2" s="1"/>
  <c r="AG4380" i="2"/>
  <c r="AH4380" i="2"/>
  <c r="AI4380" i="2"/>
  <c r="AL4380" i="2" s="1"/>
  <c r="AJ4380" i="2"/>
  <c r="AF4381" i="2"/>
  <c r="AK4381" i="2"/>
  <c r="AL4381" i="2" s="1"/>
  <c r="AG4381" i="2"/>
  <c r="AH4381" i="2"/>
  <c r="AI4381" i="2"/>
  <c r="AJ4381" i="2"/>
  <c r="AF4382" i="2"/>
  <c r="AK4382" i="2" s="1"/>
  <c r="AG4382" i="2"/>
  <c r="AH4382" i="2"/>
  <c r="AI4382" i="2"/>
  <c r="AJ4382" i="2"/>
  <c r="AF4383" i="2"/>
  <c r="AK4383" i="2"/>
  <c r="AG4383" i="2"/>
  <c r="AL4383" i="2"/>
  <c r="AH4383" i="2"/>
  <c r="AI4383" i="2"/>
  <c r="AJ4383" i="2"/>
  <c r="AF4384" i="2"/>
  <c r="AK4384" i="2"/>
  <c r="AG4384" i="2"/>
  <c r="AH4384" i="2"/>
  <c r="AI4384" i="2"/>
  <c r="AJ4384" i="2"/>
  <c r="AF4385" i="2"/>
  <c r="AK4385" i="2" s="1"/>
  <c r="AG4385" i="2"/>
  <c r="AL4385" i="2" s="1"/>
  <c r="AH4385" i="2"/>
  <c r="AI4385" i="2"/>
  <c r="AJ4385" i="2"/>
  <c r="AF4386" i="2"/>
  <c r="AK4386" i="2"/>
  <c r="AG4386" i="2"/>
  <c r="AH4386" i="2"/>
  <c r="AI4386" i="2"/>
  <c r="AJ4386" i="2"/>
  <c r="AF4387" i="2"/>
  <c r="AK4387" i="2" s="1"/>
  <c r="AG4387" i="2"/>
  <c r="AH4387" i="2"/>
  <c r="AL4387" i="2" s="1"/>
  <c r="AI4387" i="2"/>
  <c r="AJ4387" i="2"/>
  <c r="AF4388" i="2"/>
  <c r="AK4388" i="2"/>
  <c r="AG4388" i="2"/>
  <c r="AH4388" i="2"/>
  <c r="AI4388" i="2"/>
  <c r="AJ4388" i="2"/>
  <c r="AF4389" i="2"/>
  <c r="AK4389" i="2" s="1"/>
  <c r="AG4389" i="2"/>
  <c r="AH4389" i="2"/>
  <c r="AL4389" i="2" s="1"/>
  <c r="AI4389" i="2"/>
  <c r="AJ4389" i="2"/>
  <c r="AF4390" i="2"/>
  <c r="AK4390" i="2"/>
  <c r="AG4390" i="2"/>
  <c r="AH4390" i="2"/>
  <c r="AI4390" i="2"/>
  <c r="AJ4390" i="2"/>
  <c r="AF4391" i="2"/>
  <c r="AK4391" i="2" s="1"/>
  <c r="AG4391" i="2"/>
  <c r="AL4391" i="2" s="1"/>
  <c r="AH4391" i="2"/>
  <c r="AI4391" i="2"/>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c r="AG4395" i="2"/>
  <c r="AH4395" i="2"/>
  <c r="AI4395" i="2"/>
  <c r="AJ4395" i="2"/>
  <c r="AF4396" i="2"/>
  <c r="AK4396" i="2" s="1"/>
  <c r="AG4396" i="2"/>
  <c r="AH4396" i="2"/>
  <c r="AI4396" i="2"/>
  <c r="AJ4396" i="2"/>
  <c r="AF4397" i="2"/>
  <c r="AK4397" i="2" s="1"/>
  <c r="AG4397" i="2"/>
  <c r="AH4397" i="2"/>
  <c r="AL4397" i="2" s="1"/>
  <c r="AI4397" i="2"/>
  <c r="AJ4397" i="2"/>
  <c r="AF4398" i="2"/>
  <c r="AK4398" i="2"/>
  <c r="AG4398" i="2"/>
  <c r="AL4398" i="2" s="1"/>
  <c r="AH4398" i="2"/>
  <c r="AI4398" i="2"/>
  <c r="AJ4398" i="2"/>
  <c r="AF4399" i="2"/>
  <c r="AK4399" i="2"/>
  <c r="AG4399" i="2"/>
  <c r="AH4399" i="2"/>
  <c r="AI4399" i="2"/>
  <c r="AJ4399" i="2"/>
  <c r="AF4400" i="2"/>
  <c r="AK4400" i="2"/>
  <c r="AG4400" i="2"/>
  <c r="AL4400" i="2" s="1"/>
  <c r="AH4400" i="2"/>
  <c r="AI4400" i="2"/>
  <c r="AJ4400" i="2"/>
  <c r="AF4401" i="2"/>
  <c r="AK4401" i="2"/>
  <c r="AG4401" i="2"/>
  <c r="AH4401" i="2"/>
  <c r="AI4401" i="2"/>
  <c r="AJ4401" i="2"/>
  <c r="AF4402" i="2"/>
  <c r="AK4402" i="2"/>
  <c r="AG4402" i="2"/>
  <c r="AL4402" i="2" s="1"/>
  <c r="AH4402" i="2"/>
  <c r="AI4402" i="2"/>
  <c r="AJ4402" i="2"/>
  <c r="AF4403" i="2"/>
  <c r="AK4403" i="2" s="1"/>
  <c r="AG4403" i="2"/>
  <c r="AH4403" i="2"/>
  <c r="AI4403" i="2"/>
  <c r="AJ4403" i="2"/>
  <c r="AF4404" i="2"/>
  <c r="AK4404" i="2" s="1"/>
  <c r="AG4404" i="2"/>
  <c r="AH4404" i="2"/>
  <c r="AL4404" i="2" s="1"/>
  <c r="AI4404" i="2"/>
  <c r="AJ4404" i="2"/>
  <c r="AF4405" i="2"/>
  <c r="AK4405" i="2"/>
  <c r="AG4405" i="2"/>
  <c r="AH4405" i="2"/>
  <c r="AI4405" i="2"/>
  <c r="AJ4405" i="2"/>
  <c r="AF4406" i="2"/>
  <c r="AG4406" i="2"/>
  <c r="AH4406" i="2"/>
  <c r="AI4406" i="2"/>
  <c r="AJ4406" i="2"/>
  <c r="AK4406" i="2"/>
  <c r="AF4407" i="2"/>
  <c r="AK4407" i="2"/>
  <c r="AG4407" i="2"/>
  <c r="AH4407" i="2"/>
  <c r="AL4407" i="2"/>
  <c r="AI4407" i="2"/>
  <c r="AJ4407" i="2"/>
  <c r="AF4408" i="2"/>
  <c r="AK4408" i="2"/>
  <c r="AG4408" i="2"/>
  <c r="AH4408" i="2"/>
  <c r="AL4408" i="2" s="1"/>
  <c r="AI4408" i="2"/>
  <c r="AJ4408" i="2"/>
  <c r="AF4409" i="2"/>
  <c r="AK4409" i="2"/>
  <c r="AG4409" i="2"/>
  <c r="AH4409" i="2"/>
  <c r="AI4409" i="2"/>
  <c r="AJ4409" i="2"/>
  <c r="AL4409" i="2" s="1"/>
  <c r="AF4410" i="2"/>
  <c r="AK4410" i="2" s="1"/>
  <c r="AG4410" i="2"/>
  <c r="AH4410" i="2"/>
  <c r="AI4410" i="2"/>
  <c r="AJ4410" i="2"/>
  <c r="AF4411" i="2"/>
  <c r="AK4411" i="2"/>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c r="AG4415" i="2"/>
  <c r="AH4415" i="2"/>
  <c r="AI4415" i="2"/>
  <c r="AJ4415" i="2"/>
  <c r="AF4416" i="2"/>
  <c r="AK4416" i="2"/>
  <c r="AG4416" i="2"/>
  <c r="AH4416" i="2"/>
  <c r="AI4416" i="2"/>
  <c r="AJ4416" i="2"/>
  <c r="AF4417" i="2"/>
  <c r="AK4417" i="2" s="1"/>
  <c r="AL4417" i="2" s="1"/>
  <c r="AG4417" i="2"/>
  <c r="AH4417" i="2"/>
  <c r="AI4417" i="2"/>
  <c r="AJ4417" i="2"/>
  <c r="AF4418" i="2"/>
  <c r="AK4418" i="2"/>
  <c r="AG4418" i="2"/>
  <c r="AH4418" i="2"/>
  <c r="AI4418" i="2"/>
  <c r="AJ4418" i="2"/>
  <c r="AF4419" i="2"/>
  <c r="AK4419" i="2" s="1"/>
  <c r="AG4419" i="2"/>
  <c r="AL4419" i="2" s="1"/>
  <c r="AH4419" i="2"/>
  <c r="AI4419" i="2"/>
  <c r="AJ4419" i="2"/>
  <c r="AF4420" i="2"/>
  <c r="AK4420" i="2"/>
  <c r="AG4420" i="2"/>
  <c r="AL4420" i="2"/>
  <c r="AH4420" i="2"/>
  <c r="AI4420" i="2"/>
  <c r="AJ4420" i="2"/>
  <c r="AF4421" i="2"/>
  <c r="AK4421" i="2"/>
  <c r="AG4421" i="2"/>
  <c r="AH4421" i="2"/>
  <c r="AI4421" i="2"/>
  <c r="AJ4421" i="2"/>
  <c r="AF4422" i="2"/>
  <c r="AK4422" i="2"/>
  <c r="AG4422" i="2"/>
  <c r="AH4422" i="2"/>
  <c r="AI4422" i="2"/>
  <c r="AJ4422" i="2"/>
  <c r="AF4423" i="2"/>
  <c r="AK4423" i="2"/>
  <c r="AG4423" i="2"/>
  <c r="AH4423" i="2"/>
  <c r="AI4423" i="2"/>
  <c r="AJ4423" i="2"/>
  <c r="AF4424" i="2"/>
  <c r="AK4424" i="2"/>
  <c r="AG4424" i="2"/>
  <c r="AH4424" i="2"/>
  <c r="AI4424" i="2"/>
  <c r="AJ4424" i="2"/>
  <c r="AF4425" i="2"/>
  <c r="AK4425" i="2" s="1"/>
  <c r="AG4425" i="2"/>
  <c r="AL4425" i="2" s="1"/>
  <c r="AH4425" i="2"/>
  <c r="AI4425" i="2"/>
  <c r="AJ4425" i="2"/>
  <c r="AF4426" i="2"/>
  <c r="AK4426" i="2"/>
  <c r="AG4426" i="2"/>
  <c r="AH4426" i="2"/>
  <c r="AL4426" i="2" s="1"/>
  <c r="AI4426" i="2"/>
  <c r="AJ4426" i="2"/>
  <c r="AF4427" i="2"/>
  <c r="AK4427" i="2"/>
  <c r="AG4427" i="2"/>
  <c r="AL4427" i="2" s="1"/>
  <c r="AH4427" i="2"/>
  <c r="AI4427" i="2"/>
  <c r="AJ4427" i="2"/>
  <c r="AF4428" i="2"/>
  <c r="AK4428" i="2" s="1"/>
  <c r="AG4428" i="2"/>
  <c r="AH4428" i="2"/>
  <c r="AI4428" i="2"/>
  <c r="AJ4428" i="2"/>
  <c r="AF4429" i="2"/>
  <c r="AK4429" i="2"/>
  <c r="AG4429" i="2"/>
  <c r="AL4429" i="2" s="1"/>
  <c r="AH4429" i="2"/>
  <c r="AI4429" i="2"/>
  <c r="AJ4429" i="2"/>
  <c r="AF4430" i="2"/>
  <c r="AK4430" i="2" s="1"/>
  <c r="AG4430" i="2"/>
  <c r="AL4430" i="2" s="1"/>
  <c r="AH4430" i="2"/>
  <c r="AI4430" i="2"/>
  <c r="AJ4430" i="2"/>
  <c r="AF4431" i="2"/>
  <c r="AK4431" i="2" s="1"/>
  <c r="AG4431" i="2"/>
  <c r="AH4431" i="2"/>
  <c r="AI4431" i="2"/>
  <c r="AL4431" i="2" s="1"/>
  <c r="AJ4431" i="2"/>
  <c r="AF4432" i="2"/>
  <c r="AK4432" i="2"/>
  <c r="AG4432" i="2"/>
  <c r="AH4432" i="2"/>
  <c r="AI4432" i="2"/>
  <c r="AJ4432" i="2"/>
  <c r="AF4433" i="2"/>
  <c r="AK4433" i="2"/>
  <c r="AG4433" i="2"/>
  <c r="AH4433" i="2"/>
  <c r="AI4433" i="2"/>
  <c r="AJ4433" i="2"/>
  <c r="AF4434" i="2"/>
  <c r="AK4434" i="2" s="1"/>
  <c r="AG4434" i="2"/>
  <c r="AH4434" i="2"/>
  <c r="AI4434" i="2"/>
  <c r="AJ4434" i="2"/>
  <c r="AF4435" i="2"/>
  <c r="AK4435" i="2"/>
  <c r="AG4435" i="2"/>
  <c r="AL4435" i="2" s="1"/>
  <c r="AH4435" i="2"/>
  <c r="AI4435" i="2"/>
  <c r="AJ4435" i="2"/>
  <c r="AF4436" i="2"/>
  <c r="AK4436" i="2" s="1"/>
  <c r="AL4436" i="2" s="1"/>
  <c r="AG4436" i="2"/>
  <c r="AH4436" i="2"/>
  <c r="AI4436" i="2"/>
  <c r="AJ4436" i="2"/>
  <c r="AF4437" i="2"/>
  <c r="AK4437" i="2" s="1"/>
  <c r="AL4437" i="2"/>
  <c r="AG4437" i="2"/>
  <c r="AH4437" i="2"/>
  <c r="AI4437" i="2"/>
  <c r="AJ4437" i="2"/>
  <c r="AF4438" i="2"/>
  <c r="AK4438" i="2" s="1"/>
  <c r="AG4438" i="2"/>
  <c r="AH4438" i="2"/>
  <c r="AI4438" i="2"/>
  <c r="AJ4438" i="2"/>
  <c r="AF4439" i="2"/>
  <c r="AK4439" i="2" s="1"/>
  <c r="AL4439" i="2" s="1"/>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s="1"/>
  <c r="AG4443" i="2"/>
  <c r="AH4443" i="2"/>
  <c r="AI4443" i="2"/>
  <c r="AJ4443" i="2"/>
  <c r="AF4444" i="2"/>
  <c r="AK4444" i="2" s="1"/>
  <c r="AG4444" i="2"/>
  <c r="AL4444" i="2" s="1"/>
  <c r="AH4444" i="2"/>
  <c r="AI4444" i="2"/>
  <c r="AJ4444" i="2"/>
  <c r="AF4445" i="2"/>
  <c r="AK4445" i="2" s="1"/>
  <c r="AL4445" i="2" s="1"/>
  <c r="AG4445" i="2"/>
  <c r="AH4445" i="2"/>
  <c r="AI4445" i="2"/>
  <c r="AJ4445" i="2"/>
  <c r="AF4446" i="2"/>
  <c r="AK4446" i="2"/>
  <c r="AG4446" i="2"/>
  <c r="AH4446" i="2"/>
  <c r="AI4446" i="2"/>
  <c r="AJ4446" i="2"/>
  <c r="AF4447" i="2"/>
  <c r="AK4447" i="2" s="1"/>
  <c r="AG4447" i="2"/>
  <c r="AL4447" i="2" s="1"/>
  <c r="AH4447" i="2"/>
  <c r="AI4447" i="2"/>
  <c r="AJ4447" i="2"/>
  <c r="AF4448" i="2"/>
  <c r="AK4448" i="2"/>
  <c r="AG4448" i="2"/>
  <c r="AL4448" i="2" s="1"/>
  <c r="AH4448" i="2"/>
  <c r="AI4448" i="2"/>
  <c r="AJ4448" i="2"/>
  <c r="AF4449" i="2"/>
  <c r="AK4449" i="2"/>
  <c r="AL4449" i="2" s="1"/>
  <c r="AG4449" i="2"/>
  <c r="AH4449" i="2"/>
  <c r="AI4449" i="2"/>
  <c r="AJ4449" i="2"/>
  <c r="AF4450" i="2"/>
  <c r="AK4450" i="2"/>
  <c r="AG4450" i="2"/>
  <c r="AL4450" i="2" s="1"/>
  <c r="AH4450" i="2"/>
  <c r="AI4450" i="2"/>
  <c r="AJ4450" i="2"/>
  <c r="AF4451" i="2"/>
  <c r="AK4451" i="2"/>
  <c r="AG4451" i="2"/>
  <c r="AH4451" i="2"/>
  <c r="AL4451" i="2" s="1"/>
  <c r="AI4451" i="2"/>
  <c r="AJ4451" i="2"/>
  <c r="AF4452" i="2"/>
  <c r="AK4452" i="2" s="1"/>
  <c r="AG4452" i="2"/>
  <c r="AH4452" i="2"/>
  <c r="AI4452" i="2"/>
  <c r="AJ4452" i="2"/>
  <c r="AF4453" i="2"/>
  <c r="AK4453" i="2"/>
  <c r="AL4453" i="2" s="1"/>
  <c r="AG4453" i="2"/>
  <c r="AH4453" i="2"/>
  <c r="AI4453" i="2"/>
  <c r="AJ4453" i="2"/>
  <c r="AF4454" i="2"/>
  <c r="AK4454" i="2" s="1"/>
  <c r="AG4454" i="2"/>
  <c r="AH4454" i="2"/>
  <c r="AI4454" i="2"/>
  <c r="AJ4454" i="2"/>
  <c r="AF4455" i="2"/>
  <c r="AK4455" i="2" s="1"/>
  <c r="AG4455" i="2"/>
  <c r="AH4455" i="2"/>
  <c r="AI4455" i="2"/>
  <c r="AL4455" i="2" s="1"/>
  <c r="AJ4455" i="2"/>
  <c r="AF4456" i="2"/>
  <c r="AK4456" i="2" s="1"/>
  <c r="AG4456" i="2"/>
  <c r="AH4456" i="2"/>
  <c r="AI4456" i="2"/>
  <c r="AJ4456" i="2"/>
  <c r="AF4457" i="2"/>
  <c r="AK4457" i="2"/>
  <c r="AG4457" i="2"/>
  <c r="AH4457" i="2"/>
  <c r="AI4457" i="2"/>
  <c r="AJ4457" i="2"/>
  <c r="AL4457" i="2" s="1"/>
  <c r="AF4458" i="2"/>
  <c r="AK4458" i="2"/>
  <c r="AG4458" i="2"/>
  <c r="AL4458" i="2" s="1"/>
  <c r="AH4458" i="2"/>
  <c r="AI4458" i="2"/>
  <c r="AJ4458" i="2"/>
  <c r="AF4459" i="2"/>
  <c r="AK4459" i="2" s="1"/>
  <c r="AG4459" i="2"/>
  <c r="AH4459" i="2"/>
  <c r="AI4459" i="2"/>
  <c r="AL4459" i="2" s="1"/>
  <c r="AJ4459" i="2"/>
  <c r="AF4460" i="2"/>
  <c r="AK4460" i="2" s="1"/>
  <c r="AG4460" i="2"/>
  <c r="AH4460" i="2"/>
  <c r="AI4460" i="2"/>
  <c r="AJ4460" i="2"/>
  <c r="AF4461" i="2"/>
  <c r="AK4461" i="2"/>
  <c r="AG4461" i="2"/>
  <c r="AH4461" i="2"/>
  <c r="AI4461" i="2"/>
  <c r="AJ4461" i="2"/>
  <c r="AL4461" i="2" s="1"/>
  <c r="AF4462" i="2"/>
  <c r="AK4462" i="2" s="1"/>
  <c r="AG4462" i="2"/>
  <c r="AH4462" i="2"/>
  <c r="AI4462" i="2"/>
  <c r="AJ4462" i="2"/>
  <c r="AF4463" i="2"/>
  <c r="AK4463" i="2" s="1"/>
  <c r="AL4463" i="2"/>
  <c r="AG4463" i="2"/>
  <c r="AH4463" i="2"/>
  <c r="AI4463" i="2"/>
  <c r="AJ4463" i="2"/>
  <c r="AF4464" i="2"/>
  <c r="AK4464" i="2"/>
  <c r="AG4464" i="2"/>
  <c r="AL4464" i="2" s="1"/>
  <c r="AH4464" i="2"/>
  <c r="AI4464" i="2"/>
  <c r="AJ4464" i="2"/>
  <c r="AF4465" i="2"/>
  <c r="AK4465" i="2" s="1"/>
  <c r="AG4465" i="2"/>
  <c r="AH4465" i="2"/>
  <c r="AL4465" i="2" s="1"/>
  <c r="AI4465" i="2"/>
  <c r="AJ4465" i="2"/>
  <c r="AF4466" i="2"/>
  <c r="AK4466" i="2"/>
  <c r="AL4466" i="2" s="1"/>
  <c r="AG4466" i="2"/>
  <c r="AH4466" i="2"/>
  <c r="AI4466" i="2"/>
  <c r="AJ4466" i="2"/>
  <c r="AF4467" i="2"/>
  <c r="AK4467" i="2"/>
  <c r="AG4467" i="2"/>
  <c r="AL4467" i="2" s="1"/>
  <c r="AH4467" i="2"/>
  <c r="AI4467" i="2"/>
  <c r="AJ4467" i="2"/>
  <c r="AF4468" i="2"/>
  <c r="AK4468" i="2" s="1"/>
  <c r="AG4468" i="2"/>
  <c r="AL4468" i="2" s="1"/>
  <c r="AH4468" i="2"/>
  <c r="AI4468" i="2"/>
  <c r="AJ4468" i="2"/>
  <c r="AF4469" i="2"/>
  <c r="AK4469" i="2" s="1"/>
  <c r="AG4469" i="2"/>
  <c r="AH4469" i="2"/>
  <c r="AI4469" i="2"/>
  <c r="AJ4469" i="2"/>
  <c r="AF4470" i="2"/>
  <c r="AK4470" i="2"/>
  <c r="AG4470" i="2"/>
  <c r="AH4470" i="2"/>
  <c r="AI4470" i="2"/>
  <c r="AJ4470" i="2"/>
  <c r="AF4471" i="2"/>
  <c r="AK4471" i="2" s="1"/>
  <c r="AG4471" i="2"/>
  <c r="AH4471" i="2"/>
  <c r="AI4471" i="2"/>
  <c r="AJ4471" i="2"/>
  <c r="AF4472" i="2"/>
  <c r="AK4472" i="2"/>
  <c r="AG4472" i="2"/>
  <c r="AL4472" i="2" s="1"/>
  <c r="AH4472" i="2"/>
  <c r="AI4472" i="2"/>
  <c r="AJ4472" i="2"/>
  <c r="AF4473" i="2"/>
  <c r="AK4473" i="2" s="1"/>
  <c r="AG4473" i="2"/>
  <c r="AH4473" i="2"/>
  <c r="AI4473" i="2"/>
  <c r="AJ4473" i="2"/>
  <c r="AL4473" i="2" s="1"/>
  <c r="AF4474" i="2"/>
  <c r="AK4474" i="2" s="1"/>
  <c r="AG4474" i="2"/>
  <c r="AH4474" i="2"/>
  <c r="AI4474" i="2"/>
  <c r="AJ4474" i="2"/>
  <c r="AF4475" i="2"/>
  <c r="AK4475" i="2"/>
  <c r="AG4475" i="2"/>
  <c r="AL4475" i="2" s="1"/>
  <c r="AH4475" i="2"/>
  <c r="AI4475" i="2"/>
  <c r="AJ4475" i="2"/>
  <c r="AF4476" i="2"/>
  <c r="AK4476" i="2"/>
  <c r="AG4476" i="2"/>
  <c r="AH4476" i="2"/>
  <c r="AI4476" i="2"/>
  <c r="AJ4476" i="2"/>
  <c r="AF4477" i="2"/>
  <c r="AK4477" i="2"/>
  <c r="AG4477" i="2"/>
  <c r="AH4477" i="2"/>
  <c r="AI4477" i="2"/>
  <c r="AJ4477" i="2"/>
  <c r="AF4478" i="2"/>
  <c r="AK4478" i="2"/>
  <c r="AG4478" i="2"/>
  <c r="AH4478" i="2"/>
  <c r="AI4478" i="2"/>
  <c r="AJ4478" i="2"/>
  <c r="AF4479" i="2"/>
  <c r="AK4479" i="2" s="1"/>
  <c r="AG4479" i="2"/>
  <c r="AH4479" i="2"/>
  <c r="AI4479" i="2"/>
  <c r="AJ4479" i="2"/>
  <c r="AF4480" i="2"/>
  <c r="AK4480" i="2"/>
  <c r="AG4480" i="2"/>
  <c r="AH4480" i="2"/>
  <c r="AI4480" i="2"/>
  <c r="AJ4480" i="2"/>
  <c r="AF4481" i="2"/>
  <c r="AK4481" i="2"/>
  <c r="AG4481" i="2"/>
  <c r="AH4481" i="2"/>
  <c r="AI4481" i="2"/>
  <c r="AJ4481" i="2"/>
  <c r="AF4482" i="2"/>
  <c r="AK4482" i="2"/>
  <c r="AG4482" i="2"/>
  <c r="AH4482" i="2"/>
  <c r="AI4482" i="2"/>
  <c r="AJ4482" i="2"/>
  <c r="AL4482" i="2" s="1"/>
  <c r="AF4483" i="2"/>
  <c r="AK4483" i="2"/>
  <c r="AG4483" i="2"/>
  <c r="AL4483" i="2" s="1"/>
  <c r="AH4483" i="2"/>
  <c r="AI4483" i="2"/>
  <c r="AJ4483" i="2"/>
  <c r="AF4484" i="2"/>
  <c r="AK4484" i="2"/>
  <c r="AG4484" i="2"/>
  <c r="AH4484" i="2"/>
  <c r="AL4484" i="2" s="1"/>
  <c r="AI4484" i="2"/>
  <c r="AJ4484" i="2"/>
  <c r="AF4485" i="2"/>
  <c r="AK4485" i="2"/>
  <c r="AG4485" i="2"/>
  <c r="AH4485" i="2"/>
  <c r="AI4485" i="2"/>
  <c r="AJ4485" i="2"/>
  <c r="AF4486" i="2"/>
  <c r="AK4486" i="2" s="1"/>
  <c r="AG4486" i="2"/>
  <c r="AH4486" i="2"/>
  <c r="AI4486" i="2"/>
  <c r="AJ4486" i="2"/>
  <c r="AF4487" i="2"/>
  <c r="AK4487" i="2"/>
  <c r="AG4487" i="2"/>
  <c r="AH4487" i="2"/>
  <c r="AI4487" i="2"/>
  <c r="AJ4487" i="2"/>
  <c r="AF4488" i="2"/>
  <c r="AK4488" i="2" s="1"/>
  <c r="AG4488" i="2"/>
  <c r="AL4488" i="2" s="1"/>
  <c r="AH4488" i="2"/>
  <c r="AI4488" i="2"/>
  <c r="AJ4488" i="2"/>
  <c r="AF4489" i="2"/>
  <c r="AK4489" i="2" s="1"/>
  <c r="AL4489" i="2" s="1"/>
  <c r="AG4489" i="2"/>
  <c r="AH4489" i="2"/>
  <c r="AI4489" i="2"/>
  <c r="AJ4489" i="2"/>
  <c r="AF4490" i="2"/>
  <c r="AK4490" i="2"/>
  <c r="AG4490" i="2"/>
  <c r="AH4490" i="2"/>
  <c r="AI4490" i="2"/>
  <c r="AJ4490" i="2"/>
  <c r="AL4490" i="2" s="1"/>
  <c r="AF4491" i="2"/>
  <c r="AK4491" i="2" s="1"/>
  <c r="AG4491" i="2"/>
  <c r="AH4491" i="2"/>
  <c r="AL4491" i="2" s="1"/>
  <c r="AI4491" i="2"/>
  <c r="AJ4491" i="2"/>
  <c r="AF4492" i="2"/>
  <c r="AK4492" i="2"/>
  <c r="AG4492" i="2"/>
  <c r="AL4492" i="2" s="1"/>
  <c r="AH4492" i="2"/>
  <c r="AI4492" i="2"/>
  <c r="AJ4492" i="2"/>
  <c r="AF4493" i="2"/>
  <c r="AK4493" i="2"/>
  <c r="AG4493" i="2"/>
  <c r="AH4493" i="2"/>
  <c r="AI4493" i="2"/>
  <c r="AJ4493" i="2"/>
  <c r="AF4494" i="2"/>
  <c r="AK4494" i="2" s="1"/>
  <c r="AL4494" i="2" s="1"/>
  <c r="AG4494" i="2"/>
  <c r="AH4494" i="2"/>
  <c r="AI4494" i="2"/>
  <c r="AJ4494" i="2"/>
  <c r="AF4495" i="2"/>
  <c r="AK4495" i="2"/>
  <c r="AG4495" i="2"/>
  <c r="AH4495" i="2"/>
  <c r="AI4495" i="2"/>
  <c r="AL4495" i="2" s="1"/>
  <c r="AJ4495" i="2"/>
  <c r="AF4496" i="2"/>
  <c r="AK4496" i="2" s="1"/>
  <c r="AG4496" i="2"/>
  <c r="AH4496" i="2"/>
  <c r="AI4496" i="2"/>
  <c r="AJ4496" i="2"/>
  <c r="AF4497" i="2"/>
  <c r="AK4497" i="2"/>
  <c r="AG4497" i="2"/>
  <c r="AH4497" i="2"/>
  <c r="AI4497" i="2"/>
  <c r="AL4497" i="2" s="1"/>
  <c r="AJ4497" i="2"/>
  <c r="AF4498" i="2"/>
  <c r="AK4498" i="2"/>
  <c r="AG4498" i="2"/>
  <c r="AH4498" i="2"/>
  <c r="AI4498" i="2"/>
  <c r="AJ4498" i="2"/>
  <c r="AF4499" i="2"/>
  <c r="AK4499" i="2"/>
  <c r="AG4499" i="2"/>
  <c r="AH4499" i="2"/>
  <c r="AL4499" i="2" s="1"/>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c r="AG4503" i="2"/>
  <c r="AH4503" i="2"/>
  <c r="AI4503" i="2"/>
  <c r="AJ4503" i="2"/>
  <c r="AF4504" i="2"/>
  <c r="AK4504" i="2" s="1"/>
  <c r="AG4504" i="2"/>
  <c r="AH4504" i="2"/>
  <c r="AI4504" i="2"/>
  <c r="AJ4504" i="2"/>
  <c r="AF4505" i="2"/>
  <c r="AK4505" i="2"/>
  <c r="AG4505" i="2"/>
  <c r="AH4505" i="2"/>
  <c r="AI4505" i="2"/>
  <c r="AL4505" i="2" s="1"/>
  <c r="AJ4505" i="2"/>
  <c r="AF4506" i="2"/>
  <c r="AK4506" i="2"/>
  <c r="AG4506" i="2"/>
  <c r="AH4506" i="2"/>
  <c r="AI4506" i="2"/>
  <c r="AJ4506" i="2"/>
  <c r="AF4507" i="2"/>
  <c r="AK4507" i="2"/>
  <c r="AG4507" i="2"/>
  <c r="AH4507" i="2"/>
  <c r="AI4507" i="2"/>
  <c r="AJ4507" i="2"/>
  <c r="AF4508" i="2"/>
  <c r="AK4508" i="2"/>
  <c r="AG4508" i="2"/>
  <c r="AH4508" i="2"/>
  <c r="AI4508" i="2"/>
  <c r="AJ4508" i="2"/>
  <c r="AF4509" i="2"/>
  <c r="AK4509" i="2" s="1"/>
  <c r="AG4509" i="2"/>
  <c r="AH4509" i="2"/>
  <c r="AI4509" i="2"/>
  <c r="AJ4509" i="2"/>
  <c r="AF4510" i="2"/>
  <c r="AK4510" i="2"/>
  <c r="AG4510" i="2"/>
  <c r="AH4510" i="2"/>
  <c r="AI4510" i="2"/>
  <c r="AJ4510" i="2"/>
  <c r="AF4511" i="2"/>
  <c r="AK4511" i="2"/>
  <c r="AG4511" i="2"/>
  <c r="AH4511" i="2"/>
  <c r="AI4511" i="2"/>
  <c r="AL4511" i="2"/>
  <c r="AJ4511" i="2"/>
  <c r="AF4512" i="2"/>
  <c r="AK4512" i="2" s="1"/>
  <c r="AG4512" i="2"/>
  <c r="AH4512" i="2"/>
  <c r="AI4512" i="2"/>
  <c r="AJ4512" i="2"/>
  <c r="AF4513" i="2"/>
  <c r="AK4513" i="2"/>
  <c r="AG4513" i="2"/>
  <c r="AH4513" i="2"/>
  <c r="AI4513" i="2"/>
  <c r="AJ4513" i="2"/>
  <c r="AF4514" i="2"/>
  <c r="AK4514" i="2" s="1"/>
  <c r="AG4514" i="2"/>
  <c r="AH4514" i="2"/>
  <c r="AI4514" i="2"/>
  <c r="AJ4514" i="2"/>
  <c r="AF4515" i="2"/>
  <c r="AK4515" i="2"/>
  <c r="AG4515" i="2"/>
  <c r="AH4515" i="2"/>
  <c r="AI4515" i="2"/>
  <c r="AJ4515" i="2"/>
  <c r="AF4516" i="2"/>
  <c r="AK4516" i="2" s="1"/>
  <c r="AG4516" i="2"/>
  <c r="AH4516" i="2"/>
  <c r="AI4516" i="2"/>
  <c r="AJ4516" i="2"/>
  <c r="AF4517" i="2"/>
  <c r="AK4517" i="2"/>
  <c r="AG4517" i="2"/>
  <c r="AH4517" i="2"/>
  <c r="AL4517" i="2" s="1"/>
  <c r="AI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I4521" i="2"/>
  <c r="AJ4521" i="2"/>
  <c r="AF4522" i="2"/>
  <c r="AK4522" i="2" s="1"/>
  <c r="AG4522" i="2"/>
  <c r="AH4522" i="2"/>
  <c r="AI4522" i="2"/>
  <c r="AJ4522" i="2"/>
  <c r="AF4523" i="2"/>
  <c r="AK4523" i="2" s="1"/>
  <c r="AG4523" i="2"/>
  <c r="AH4523" i="2"/>
  <c r="AI4523" i="2"/>
  <c r="AJ4523" i="2"/>
  <c r="AF4524" i="2"/>
  <c r="AK4524" i="2"/>
  <c r="AG4524" i="2"/>
  <c r="AH4524" i="2"/>
  <c r="AI4524" i="2"/>
  <c r="AJ4524" i="2"/>
  <c r="AL4524" i="2" s="1"/>
  <c r="AF4525" i="2"/>
  <c r="AK4525" i="2"/>
  <c r="AG4525" i="2"/>
  <c r="AH4525" i="2"/>
  <c r="AI4525" i="2"/>
  <c r="AJ4525" i="2"/>
  <c r="AF4526" i="2"/>
  <c r="AK4526" i="2"/>
  <c r="AG4526" i="2"/>
  <c r="AH4526" i="2"/>
  <c r="AI4526" i="2"/>
  <c r="AL4526" i="2" s="1"/>
  <c r="AJ4526" i="2"/>
  <c r="AF4527" i="2"/>
  <c r="AK4527" i="2"/>
  <c r="AG4527" i="2"/>
  <c r="AH4527" i="2"/>
  <c r="AI4527" i="2"/>
  <c r="AJ4527" i="2"/>
  <c r="AF4528" i="2"/>
  <c r="AK4528" i="2" s="1"/>
  <c r="AG4528" i="2"/>
  <c r="AH4528" i="2"/>
  <c r="AI4528" i="2"/>
  <c r="AJ4528" i="2"/>
  <c r="AF4529" i="2"/>
  <c r="AK4529" i="2" s="1"/>
  <c r="AL4529" i="2" s="1"/>
  <c r="AG4529" i="2"/>
  <c r="AH4529" i="2"/>
  <c r="AI4529" i="2"/>
  <c r="AJ4529" i="2"/>
  <c r="AF4530" i="2"/>
  <c r="AK4530" i="2" s="1"/>
  <c r="AG4530" i="2"/>
  <c r="AH4530" i="2"/>
  <c r="AI4530" i="2"/>
  <c r="AJ4530" i="2"/>
  <c r="AL4530" i="2"/>
  <c r="AF4531" i="2"/>
  <c r="AK4531" i="2" s="1"/>
  <c r="AG4531" i="2"/>
  <c r="AH4531" i="2"/>
  <c r="AI4531" i="2"/>
  <c r="AJ4531" i="2"/>
  <c r="AF4532" i="2"/>
  <c r="AK4532" i="2"/>
  <c r="AG4532" i="2"/>
  <c r="AH4532" i="2"/>
  <c r="AI4532" i="2"/>
  <c r="AJ4532" i="2"/>
  <c r="AF4533" i="2"/>
  <c r="AK4533" i="2" s="1"/>
  <c r="AL4533" i="2" s="1"/>
  <c r="AG4533" i="2"/>
  <c r="AH4533" i="2"/>
  <c r="AI4533" i="2"/>
  <c r="AJ4533" i="2"/>
  <c r="AF4534" i="2"/>
  <c r="AK4534" i="2"/>
  <c r="AG4534" i="2"/>
  <c r="AH4534" i="2"/>
  <c r="AI4534" i="2"/>
  <c r="AJ4534" i="2"/>
  <c r="AL4534" i="2" s="1"/>
  <c r="AF4535" i="2"/>
  <c r="AK4535" i="2"/>
  <c r="AG4535" i="2"/>
  <c r="AL4535" i="2" s="1"/>
  <c r="AH4535" i="2"/>
  <c r="AI4535" i="2"/>
  <c r="AJ4535" i="2"/>
  <c r="AF4536" i="2"/>
  <c r="AK4536" i="2"/>
  <c r="AG4536" i="2"/>
  <c r="AH4536" i="2"/>
  <c r="AI4536" i="2"/>
  <c r="AJ4536" i="2"/>
  <c r="AF4537" i="2"/>
  <c r="AK4537" i="2" s="1"/>
  <c r="AL4537" i="2" s="1"/>
  <c r="AG4537" i="2"/>
  <c r="AH4537" i="2"/>
  <c r="AI4537" i="2"/>
  <c r="AJ4537" i="2"/>
  <c r="AF4538" i="2"/>
  <c r="AK4538" i="2"/>
  <c r="AG4538" i="2"/>
  <c r="AH4538" i="2"/>
  <c r="AI4538" i="2"/>
  <c r="AJ4538" i="2"/>
  <c r="AF4539" i="2"/>
  <c r="AK4539" i="2"/>
  <c r="AG4539" i="2"/>
  <c r="AH4539" i="2"/>
  <c r="AI4539" i="2"/>
  <c r="AJ4539" i="2"/>
  <c r="AF4540" i="2"/>
  <c r="AK4540" i="2" s="1"/>
  <c r="AG4540" i="2"/>
  <c r="AH4540" i="2"/>
  <c r="AL4540" i="2" s="1"/>
  <c r="AI4540" i="2"/>
  <c r="AJ4540" i="2"/>
  <c r="AF4541" i="2"/>
  <c r="AK4541" i="2" s="1"/>
  <c r="AG4541" i="2"/>
  <c r="AH4541" i="2"/>
  <c r="AI4541" i="2"/>
  <c r="AJ4541" i="2"/>
  <c r="AF4542" i="2"/>
  <c r="AK4542" i="2" s="1"/>
  <c r="AG4542" i="2"/>
  <c r="AL4542" i="2" s="1"/>
  <c r="AH4542" i="2"/>
  <c r="AI4542" i="2"/>
  <c r="AJ4542" i="2"/>
  <c r="AF4543" i="2"/>
  <c r="AK4543" i="2" s="1"/>
  <c r="AG4543" i="2"/>
  <c r="AH4543" i="2"/>
  <c r="AI4543" i="2"/>
  <c r="AJ4543" i="2"/>
  <c r="AF4544" i="2"/>
  <c r="AK4544" i="2"/>
  <c r="AG4544" i="2"/>
  <c r="AH4544" i="2"/>
  <c r="AL4544" i="2" s="1"/>
  <c r="AI4544" i="2"/>
  <c r="AJ4544" i="2"/>
  <c r="AF4545" i="2"/>
  <c r="AK4545" i="2"/>
  <c r="AG4545" i="2"/>
  <c r="AH4545" i="2"/>
  <c r="AI4545" i="2"/>
  <c r="AJ4545" i="2"/>
  <c r="AF4546" i="2"/>
  <c r="AK4546" i="2" s="1"/>
  <c r="AG4546" i="2"/>
  <c r="AH4546" i="2"/>
  <c r="AI4546" i="2"/>
  <c r="AJ4546" i="2"/>
  <c r="AF4547" i="2"/>
  <c r="AK4547" i="2"/>
  <c r="AG4547" i="2"/>
  <c r="AH4547" i="2"/>
  <c r="AI4547" i="2"/>
  <c r="AJ4547" i="2"/>
  <c r="AF4548" i="2"/>
  <c r="AK4548" i="2"/>
  <c r="AG4548" i="2"/>
  <c r="AH4548" i="2"/>
  <c r="AI4548" i="2"/>
  <c r="AJ4548" i="2"/>
  <c r="AF4549" i="2"/>
  <c r="AK4549" i="2"/>
  <c r="AG4549" i="2"/>
  <c r="AH4549" i="2"/>
  <c r="AI4549" i="2"/>
  <c r="AJ4549" i="2"/>
  <c r="AF4550" i="2"/>
  <c r="AK4550" i="2" s="1"/>
  <c r="AL4550" i="2" s="1"/>
  <c r="AG4550" i="2"/>
  <c r="AH4550" i="2"/>
  <c r="AI4550" i="2"/>
  <c r="AJ4550" i="2"/>
  <c r="AF4551" i="2"/>
  <c r="AK4551" i="2"/>
  <c r="AG4551" i="2"/>
  <c r="AH4551" i="2"/>
  <c r="AI4551" i="2"/>
  <c r="AJ4551" i="2"/>
  <c r="AF4552" i="2"/>
  <c r="AK4552" i="2" s="1"/>
  <c r="AL4552" i="2" s="1"/>
  <c r="AG4552" i="2"/>
  <c r="AH4552" i="2"/>
  <c r="AI4552" i="2"/>
  <c r="AJ4552" i="2"/>
  <c r="AF4553" i="2"/>
  <c r="AK4553" i="2" s="1"/>
  <c r="AG4553" i="2"/>
  <c r="AH4553" i="2"/>
  <c r="AI4553" i="2"/>
  <c r="AJ4553" i="2"/>
  <c r="AF4554" i="2"/>
  <c r="AK4554" i="2"/>
  <c r="AG4554" i="2"/>
  <c r="AH4554" i="2"/>
  <c r="AI4554" i="2"/>
  <c r="AJ4554" i="2"/>
  <c r="AF4555" i="2"/>
  <c r="AK4555" i="2"/>
  <c r="AG4555" i="2"/>
  <c r="AH4555" i="2"/>
  <c r="AL4555" i="2" s="1"/>
  <c r="AI4555" i="2"/>
  <c r="AJ4555" i="2"/>
  <c r="AF4556" i="2"/>
  <c r="AK4556" i="2"/>
  <c r="AG4556" i="2"/>
  <c r="AH4556" i="2"/>
  <c r="AI4556" i="2"/>
  <c r="AJ4556" i="2"/>
  <c r="AF4557" i="2"/>
  <c r="AK4557" i="2"/>
  <c r="AG4557" i="2"/>
  <c r="AH4557" i="2"/>
  <c r="AL4557" i="2" s="1"/>
  <c r="AI4557" i="2"/>
  <c r="AJ4557" i="2"/>
  <c r="AF4558" i="2"/>
  <c r="AK4558" i="2" s="1"/>
  <c r="AL4558" i="2" s="1"/>
  <c r="AG4558" i="2"/>
  <c r="AH4558" i="2"/>
  <c r="AI4558" i="2"/>
  <c r="AJ4558" i="2"/>
  <c r="AF4559" i="2"/>
  <c r="AK4559" i="2"/>
  <c r="AL4559" i="2"/>
  <c r="AG4559" i="2"/>
  <c r="AH4559" i="2"/>
  <c r="AI4559" i="2"/>
  <c r="AJ4559" i="2"/>
  <c r="AF4560" i="2"/>
  <c r="AK4560" i="2"/>
  <c r="AG4560" i="2"/>
  <c r="AL4560" i="2" s="1"/>
  <c r="AH4560" i="2"/>
  <c r="AI4560" i="2"/>
  <c r="AJ4560" i="2"/>
  <c r="AF4561" i="2"/>
  <c r="AK4561" i="2" s="1"/>
  <c r="AG4561" i="2"/>
  <c r="AH4561" i="2"/>
  <c r="AL4561" i="2" s="1"/>
  <c r="AI4561" i="2"/>
  <c r="AJ4561" i="2"/>
  <c r="AF4562" i="2"/>
  <c r="AK4562" i="2" s="1"/>
  <c r="AG4562" i="2"/>
  <c r="AH4562" i="2"/>
  <c r="AI4562" i="2"/>
  <c r="AJ4562" i="2"/>
  <c r="AF4563" i="2"/>
  <c r="AK4563" i="2"/>
  <c r="AG4563" i="2"/>
  <c r="AH4563" i="2"/>
  <c r="AI4563" i="2"/>
  <c r="AJ4563" i="2"/>
  <c r="AF4564" i="2"/>
  <c r="AK4564" i="2" s="1"/>
  <c r="AG4564" i="2"/>
  <c r="AH4564" i="2"/>
  <c r="AI4564" i="2"/>
  <c r="AL4564" i="2" s="1"/>
  <c r="AJ4564" i="2"/>
  <c r="AF4565" i="2"/>
  <c r="AK4565" i="2"/>
  <c r="AG4565" i="2"/>
  <c r="AH4565" i="2"/>
  <c r="AI4565" i="2"/>
  <c r="AJ4565" i="2"/>
  <c r="AF4566" i="2"/>
  <c r="AK4566" i="2"/>
  <c r="AG4566" i="2"/>
  <c r="AH4566" i="2"/>
  <c r="AI4566" i="2"/>
  <c r="AJ4566" i="2"/>
  <c r="AF4567" i="2"/>
  <c r="AK4567" i="2"/>
  <c r="AG4567" i="2"/>
  <c r="AH4567" i="2"/>
  <c r="AI4567" i="2"/>
  <c r="AL4567" i="2" s="1"/>
  <c r="AJ4567" i="2"/>
  <c r="AF4568" i="2"/>
  <c r="AK4568" i="2"/>
  <c r="AG4568" i="2"/>
  <c r="AL4568" i="2" s="1"/>
  <c r="AH4568" i="2"/>
  <c r="AI4568" i="2"/>
  <c r="AJ4568" i="2"/>
  <c r="AF4569" i="2"/>
  <c r="AK4569" i="2"/>
  <c r="AG4569" i="2"/>
  <c r="AL4569" i="2"/>
  <c r="AH4569" i="2"/>
  <c r="AI4569" i="2"/>
  <c r="AJ4569" i="2"/>
  <c r="AF4570" i="2"/>
  <c r="AK4570" i="2"/>
  <c r="AG4570" i="2"/>
  <c r="AH4570" i="2"/>
  <c r="AL4570" i="2" s="1"/>
  <c r="AI4570" i="2"/>
  <c r="AJ4570" i="2"/>
  <c r="AF4571" i="2"/>
  <c r="AK4571" i="2"/>
  <c r="AG4571" i="2"/>
  <c r="AH4571" i="2"/>
  <c r="AI4571" i="2"/>
  <c r="AJ4571" i="2"/>
  <c r="AF4572" i="2"/>
  <c r="AK4572" i="2" s="1"/>
  <c r="AG4572" i="2"/>
  <c r="AL4572" i="2" s="1"/>
  <c r="AH4572" i="2"/>
  <c r="AI4572" i="2"/>
  <c r="AJ4572" i="2"/>
  <c r="AF4573" i="2"/>
  <c r="AK4573" i="2" s="1"/>
  <c r="AL4573" i="2" s="1"/>
  <c r="AG4573" i="2"/>
  <c r="AH4573" i="2"/>
  <c r="AI4573" i="2"/>
  <c r="AJ4573" i="2"/>
  <c r="AF4574" i="2"/>
  <c r="AK4574" i="2" s="1"/>
  <c r="AG4574" i="2"/>
  <c r="AL4574" i="2" s="1"/>
  <c r="AH4574" i="2"/>
  <c r="AI4574" i="2"/>
  <c r="AJ4574" i="2"/>
  <c r="AF4575" i="2"/>
  <c r="AK4575" i="2"/>
  <c r="AG4575" i="2"/>
  <c r="AH4575" i="2"/>
  <c r="AI4575" i="2"/>
  <c r="AJ4575" i="2"/>
  <c r="AF4576" i="2"/>
  <c r="AK4576" i="2" s="1"/>
  <c r="AG4576" i="2"/>
  <c r="AH4576" i="2"/>
  <c r="AL4576" i="2" s="1"/>
  <c r="AI4576" i="2"/>
  <c r="AJ4576" i="2"/>
  <c r="AF4577" i="2"/>
  <c r="AK4577" i="2" s="1"/>
  <c r="AL4577" i="2" s="1"/>
  <c r="AG4577" i="2"/>
  <c r="AH4577" i="2"/>
  <c r="AI4577" i="2"/>
  <c r="AJ4577" i="2"/>
  <c r="AF4578" i="2"/>
  <c r="AK4578" i="2" s="1"/>
  <c r="AG4578" i="2"/>
  <c r="AL4578" i="2" s="1"/>
  <c r="AH4578" i="2"/>
  <c r="AI4578" i="2"/>
  <c r="AJ4578" i="2"/>
  <c r="AF4579" i="2"/>
  <c r="AK4579" i="2" s="1"/>
  <c r="AG4579" i="2"/>
  <c r="AH4579" i="2"/>
  <c r="AI4579" i="2"/>
  <c r="AJ4579" i="2"/>
  <c r="AF4580" i="2"/>
  <c r="AK4580" i="2"/>
  <c r="AG4580" i="2"/>
  <c r="AH4580" i="2"/>
  <c r="AI4580" i="2"/>
  <c r="AL4580" i="2" s="1"/>
  <c r="AJ4580" i="2"/>
  <c r="AF4581" i="2"/>
  <c r="AK4581" i="2" s="1"/>
  <c r="AG4581" i="2"/>
  <c r="AH4581" i="2"/>
  <c r="AI4581" i="2"/>
  <c r="AJ4581" i="2"/>
  <c r="AF4582" i="2"/>
  <c r="AK4582" i="2"/>
  <c r="AG4582" i="2"/>
  <c r="AH4582" i="2"/>
  <c r="AI4582" i="2"/>
  <c r="AJ4582" i="2"/>
  <c r="AL4582" i="2" s="1"/>
  <c r="AF4583" i="2"/>
  <c r="AK4583" i="2" s="1"/>
  <c r="AL4583" i="2" s="1"/>
  <c r="AG4583" i="2"/>
  <c r="AH4583" i="2"/>
  <c r="AI4583" i="2"/>
  <c r="AJ4583" i="2"/>
  <c r="AF4584" i="2"/>
  <c r="AK4584" i="2"/>
  <c r="AG4584" i="2"/>
  <c r="AH4584" i="2"/>
  <c r="AI4584" i="2"/>
  <c r="AJ4584" i="2"/>
  <c r="AL4584" i="2" s="1"/>
  <c r="AF4585" i="2"/>
  <c r="AK4585" i="2"/>
  <c r="AG4585" i="2"/>
  <c r="AH4585" i="2"/>
  <c r="AI4585" i="2"/>
  <c r="AJ4585" i="2"/>
  <c r="AL4585" i="2" s="1"/>
  <c r="AF4586" i="2"/>
  <c r="AK4586" i="2"/>
  <c r="AG4586" i="2"/>
  <c r="AH4586" i="2"/>
  <c r="AI4586" i="2"/>
  <c r="AL4586" i="2" s="1"/>
  <c r="AJ4586" i="2"/>
  <c r="AF4587" i="2"/>
  <c r="AK4587" i="2"/>
  <c r="AG4587" i="2"/>
  <c r="AH4587" i="2"/>
  <c r="AI4587" i="2"/>
  <c r="AJ4587" i="2"/>
  <c r="AF4588" i="2"/>
  <c r="AK4588" i="2"/>
  <c r="AG4588" i="2"/>
  <c r="AH4588" i="2"/>
  <c r="AI4588" i="2"/>
  <c r="AL4588" i="2" s="1"/>
  <c r="AJ4588" i="2"/>
  <c r="AF4589" i="2"/>
  <c r="AK4589" i="2"/>
  <c r="AG4589" i="2"/>
  <c r="AL4589" i="2" s="1"/>
  <c r="AH4589" i="2"/>
  <c r="AI4589" i="2"/>
  <c r="AJ4589" i="2"/>
  <c r="AF4590" i="2"/>
  <c r="AK4590" i="2" s="1"/>
  <c r="AL4590" i="2" s="1"/>
  <c r="AG4590" i="2"/>
  <c r="AH4590" i="2"/>
  <c r="AI4590" i="2"/>
  <c r="AJ4590" i="2"/>
  <c r="AF4591" i="2"/>
  <c r="AK4591" i="2"/>
  <c r="AG4591" i="2"/>
  <c r="AH4591" i="2"/>
  <c r="AI4591" i="2"/>
  <c r="AJ4591" i="2"/>
  <c r="AF4592" i="2"/>
  <c r="AK4592" i="2" s="1"/>
  <c r="AG4592" i="2"/>
  <c r="AL4592" i="2" s="1"/>
  <c r="AH4592" i="2"/>
  <c r="AI4592" i="2"/>
  <c r="AJ4592" i="2"/>
  <c r="AF4593" i="2"/>
  <c r="AK4593" i="2"/>
  <c r="AG4593" i="2"/>
  <c r="AH4593" i="2"/>
  <c r="AI4593" i="2"/>
  <c r="AJ4593" i="2"/>
  <c r="AF4594" i="2"/>
  <c r="AK4594" i="2" s="1"/>
  <c r="AL4594" i="2" s="1"/>
  <c r="AG4594" i="2"/>
  <c r="AH4594" i="2"/>
  <c r="AI4594" i="2"/>
  <c r="AJ4594" i="2"/>
  <c r="AF4595" i="2"/>
  <c r="AK4595" i="2" s="1"/>
  <c r="AG4595" i="2"/>
  <c r="AH4595" i="2"/>
  <c r="AI4595" i="2"/>
  <c r="AL4595" i="2" s="1"/>
  <c r="AJ4595" i="2"/>
  <c r="AF4596" i="2"/>
  <c r="AK4596" i="2" s="1"/>
  <c r="AG4596" i="2"/>
  <c r="AH4596" i="2"/>
  <c r="AL4596" i="2" s="1"/>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L4600" i="2" s="1"/>
  <c r="AH4600" i="2"/>
  <c r="AI4600" i="2"/>
  <c r="AJ4600" i="2"/>
  <c r="AF4601" i="2"/>
  <c r="AK4601" i="2" s="1"/>
  <c r="AL4601" i="2" s="1"/>
  <c r="AG4601" i="2"/>
  <c r="AH4601" i="2"/>
  <c r="AI4601" i="2"/>
  <c r="AJ4601" i="2"/>
  <c r="AF4602" i="2"/>
  <c r="AK4602" i="2"/>
  <c r="AG4602" i="2"/>
  <c r="AL4602" i="2" s="1"/>
  <c r="AH4602" i="2"/>
  <c r="AI4602" i="2"/>
  <c r="AJ4602" i="2"/>
  <c r="AF4603" i="2"/>
  <c r="AK4603" i="2" s="1"/>
  <c r="AG4603" i="2"/>
  <c r="AL4603" i="2" s="1"/>
  <c r="AH4603" i="2"/>
  <c r="AI4603" i="2"/>
  <c r="AJ4603" i="2"/>
  <c r="AF4604" i="2"/>
  <c r="AK4604" i="2" s="1"/>
  <c r="AG4604" i="2"/>
  <c r="AL4604" i="2" s="1"/>
  <c r="AH4604" i="2"/>
  <c r="AI4604" i="2"/>
  <c r="AJ4604" i="2"/>
  <c r="AF4605" i="2"/>
  <c r="AK4605" i="2" s="1"/>
  <c r="AL4605" i="2" s="1"/>
  <c r="AG4605" i="2"/>
  <c r="AH4605" i="2"/>
  <c r="AI4605" i="2"/>
  <c r="AJ4605" i="2"/>
  <c r="AF4606" i="2"/>
  <c r="AK4606" i="2" s="1"/>
  <c r="AG4606" i="2"/>
  <c r="AL4606" i="2"/>
  <c r="AH4606" i="2"/>
  <c r="AI4606" i="2"/>
  <c r="AJ4606" i="2"/>
  <c r="AF4607" i="2"/>
  <c r="AK4607" i="2" s="1"/>
  <c r="AG4607" i="2"/>
  <c r="AL4607" i="2"/>
  <c r="AH4607" i="2"/>
  <c r="AI4607" i="2"/>
  <c r="AJ4607" i="2"/>
  <c r="AF4608" i="2"/>
  <c r="AK4608" i="2"/>
  <c r="AG4608" i="2"/>
  <c r="AL4608" i="2" s="1"/>
  <c r="AH4608" i="2"/>
  <c r="AI4608" i="2"/>
  <c r="AJ4608" i="2"/>
  <c r="AF4609" i="2"/>
  <c r="AK4609" i="2"/>
  <c r="AG4609" i="2"/>
  <c r="AH4609" i="2"/>
  <c r="AI4609" i="2"/>
  <c r="AJ4609" i="2"/>
  <c r="AF4610" i="2"/>
  <c r="AK4610" i="2"/>
  <c r="AL4610" i="2" s="1"/>
  <c r="AG4610" i="2"/>
  <c r="AH4610" i="2"/>
  <c r="AI4610" i="2"/>
  <c r="AJ4610" i="2"/>
  <c r="AF4611" i="2"/>
  <c r="AK4611" i="2" s="1"/>
  <c r="AG4611" i="2"/>
  <c r="AH4611" i="2"/>
  <c r="AI4611" i="2"/>
  <c r="AJ4611" i="2"/>
  <c r="AL4611" i="2" s="1"/>
  <c r="AF4612" i="2"/>
  <c r="AK4612" i="2" s="1"/>
  <c r="AG4612" i="2"/>
  <c r="AH4612" i="2"/>
  <c r="AI4612" i="2"/>
  <c r="AJ4612" i="2"/>
  <c r="AF4613" i="2"/>
  <c r="AK4613" i="2" s="1"/>
  <c r="AG4613" i="2"/>
  <c r="AH4613" i="2"/>
  <c r="AI4613" i="2"/>
  <c r="AJ4613" i="2"/>
  <c r="AF4614" i="2"/>
  <c r="AK4614" i="2" s="1"/>
  <c r="AL4614" i="2" s="1"/>
  <c r="AG4614" i="2"/>
  <c r="AH4614" i="2"/>
  <c r="AI4614" i="2"/>
  <c r="AJ4614" i="2"/>
  <c r="AF4615" i="2"/>
  <c r="AK4615" i="2" s="1"/>
  <c r="AG4615" i="2"/>
  <c r="AH4615" i="2"/>
  <c r="AI4615" i="2"/>
  <c r="AL4615" i="2" s="1"/>
  <c r="AJ4615" i="2"/>
  <c r="AF4616" i="2"/>
  <c r="AK4616" i="2"/>
  <c r="AG4616" i="2"/>
  <c r="AH4616" i="2"/>
  <c r="AI4616" i="2"/>
  <c r="AJ4616" i="2"/>
  <c r="AF4617" i="2"/>
  <c r="AK4617" i="2"/>
  <c r="AG4617" i="2"/>
  <c r="AH4617" i="2"/>
  <c r="AI4617" i="2"/>
  <c r="AL4617" i="2" s="1"/>
  <c r="AJ4617" i="2"/>
  <c r="AF4618" i="2"/>
  <c r="AK4618" i="2" s="1"/>
  <c r="AG4618" i="2"/>
  <c r="AH4618" i="2"/>
  <c r="AL4618" i="2"/>
  <c r="AI4618" i="2"/>
  <c r="AJ4618" i="2"/>
  <c r="AF4619" i="2"/>
  <c r="AK4619" i="2" s="1"/>
  <c r="AG4619" i="2"/>
  <c r="AH4619" i="2"/>
  <c r="AI4619" i="2"/>
  <c r="AL4619" i="2" s="1"/>
  <c r="AJ4619" i="2"/>
  <c r="AF4620" i="2"/>
  <c r="AK4620" i="2"/>
  <c r="AG4620" i="2"/>
  <c r="AL4620" i="2" s="1"/>
  <c r="AH4620" i="2"/>
  <c r="AI4620" i="2"/>
  <c r="AJ4620" i="2"/>
  <c r="AF4621" i="2"/>
  <c r="AK4621" i="2" s="1"/>
  <c r="AG4621" i="2"/>
  <c r="AH4621" i="2"/>
  <c r="AI4621" i="2"/>
  <c r="AJ4621" i="2"/>
  <c r="AF4622" i="2"/>
  <c r="AK4622" i="2"/>
  <c r="AG4622" i="2"/>
  <c r="AH4622" i="2"/>
  <c r="AL4622" i="2"/>
  <c r="AI4622" i="2"/>
  <c r="AJ4622" i="2"/>
  <c r="AF4623" i="2"/>
  <c r="AK4623" i="2"/>
  <c r="AG4623" i="2"/>
  <c r="AL4623" i="2" s="1"/>
  <c r="AH4623" i="2"/>
  <c r="AI4623" i="2"/>
  <c r="AJ4623" i="2"/>
  <c r="AF4624" i="2"/>
  <c r="AK4624" i="2" s="1"/>
  <c r="AL4624" i="2" s="1"/>
  <c r="AG4624" i="2"/>
  <c r="AH4624" i="2"/>
  <c r="AI4624" i="2"/>
  <c r="AJ4624" i="2"/>
  <c r="AF4625" i="2"/>
  <c r="AK4625" i="2"/>
  <c r="AG4625" i="2"/>
  <c r="AL4625" i="2" s="1"/>
  <c r="AH4625" i="2"/>
  <c r="AI4625" i="2"/>
  <c r="AJ4625" i="2"/>
  <c r="AF4626" i="2"/>
  <c r="AK4626" i="2" s="1"/>
  <c r="AG4626" i="2"/>
  <c r="AH4626" i="2"/>
  <c r="AL4626" i="2" s="1"/>
  <c r="AI4626" i="2"/>
  <c r="AJ4626" i="2"/>
  <c r="AF4627" i="2"/>
  <c r="AK4627" i="2" s="1"/>
  <c r="AG4627" i="2"/>
  <c r="AH4627" i="2"/>
  <c r="AI4627" i="2"/>
  <c r="AJ4627" i="2"/>
  <c r="AF4628" i="2"/>
  <c r="AK4628" i="2"/>
  <c r="AG4628" i="2"/>
  <c r="AL4628" i="2" s="1"/>
  <c r="AH4628" i="2"/>
  <c r="AI4628" i="2"/>
  <c r="AJ4628" i="2"/>
  <c r="AF4629" i="2"/>
  <c r="AK4629" i="2"/>
  <c r="AG4629" i="2"/>
  <c r="AL4629" i="2" s="1"/>
  <c r="AH4629" i="2"/>
  <c r="AI4629" i="2"/>
  <c r="AJ4629" i="2"/>
  <c r="AF4630" i="2"/>
  <c r="AK4630" i="2" s="1"/>
  <c r="AG4630" i="2"/>
  <c r="AL4630" i="2" s="1"/>
  <c r="AH4630" i="2"/>
  <c r="AI4630" i="2"/>
  <c r="AJ4630" i="2"/>
  <c r="AF4631" i="2"/>
  <c r="AK4631" i="2"/>
  <c r="AG4631" i="2"/>
  <c r="AH4631" i="2"/>
  <c r="AI4631" i="2"/>
  <c r="AJ4631" i="2"/>
  <c r="AF4632" i="2"/>
  <c r="AK4632" i="2"/>
  <c r="AG4632" i="2"/>
  <c r="AH4632" i="2"/>
  <c r="AI4632" i="2"/>
  <c r="AJ4632" i="2"/>
  <c r="AF4633" i="2"/>
  <c r="AK4633" i="2"/>
  <c r="AL4633" i="2" s="1"/>
  <c r="AG4633" i="2"/>
  <c r="AH4633" i="2"/>
  <c r="AI4633" i="2"/>
  <c r="AJ4633" i="2"/>
  <c r="AF4634" i="2"/>
  <c r="AK4634" i="2"/>
  <c r="AG4634" i="2"/>
  <c r="AH4634" i="2"/>
  <c r="AI4634" i="2"/>
  <c r="AJ4634" i="2"/>
  <c r="AF4635" i="2"/>
  <c r="AK4635" i="2" s="1"/>
  <c r="AG4635" i="2"/>
  <c r="AL4635" i="2" s="1"/>
  <c r="AH4635" i="2"/>
  <c r="AI4635" i="2"/>
  <c r="AJ4635" i="2"/>
  <c r="AF4636" i="2"/>
  <c r="AK4636" i="2" s="1"/>
  <c r="AL4636" i="2" s="1"/>
  <c r="AG4636" i="2"/>
  <c r="AH4636" i="2"/>
  <c r="AI4636" i="2"/>
  <c r="AJ4636" i="2"/>
  <c r="AF4637" i="2"/>
  <c r="AK4637" i="2" s="1"/>
  <c r="AG4637" i="2"/>
  <c r="AL4637" i="2"/>
  <c r="AH4637" i="2"/>
  <c r="AI4637" i="2"/>
  <c r="AJ4637" i="2"/>
  <c r="AF4638" i="2"/>
  <c r="AK4638" i="2" s="1"/>
  <c r="AG4638" i="2"/>
  <c r="AH4638" i="2"/>
  <c r="AI4638" i="2"/>
  <c r="AJ4638" i="2"/>
  <c r="AF4639" i="2"/>
  <c r="AK4639" i="2"/>
  <c r="AG4639" i="2"/>
  <c r="AL4639" i="2" s="1"/>
  <c r="AH4639" i="2"/>
  <c r="AI4639" i="2"/>
  <c r="AJ4639" i="2"/>
  <c r="AF4640" i="2"/>
  <c r="AK4640" i="2"/>
  <c r="AL4640" i="2"/>
  <c r="AG4640" i="2"/>
  <c r="AH4640" i="2"/>
  <c r="AI4640" i="2"/>
  <c r="AJ4640" i="2"/>
  <c r="AF4641" i="2"/>
  <c r="AK4641" i="2"/>
  <c r="AG4641" i="2"/>
  <c r="AL4641" i="2" s="1"/>
  <c r="AH4641" i="2"/>
  <c r="AI4641" i="2"/>
  <c r="AJ4641" i="2"/>
  <c r="AF4642" i="2"/>
  <c r="AK4642" i="2" s="1"/>
  <c r="AG4642" i="2"/>
  <c r="AH4642" i="2"/>
  <c r="AI4642" i="2"/>
  <c r="AJ4642" i="2"/>
  <c r="AF4643" i="2"/>
  <c r="AK4643" i="2"/>
  <c r="AG4643" i="2"/>
  <c r="AH4643" i="2"/>
  <c r="AI4643" i="2"/>
  <c r="AJ4643" i="2"/>
  <c r="AF4644" i="2"/>
  <c r="AK4644" i="2" s="1"/>
  <c r="AG4644" i="2"/>
  <c r="AH4644" i="2"/>
  <c r="AI4644" i="2"/>
  <c r="AJ4644" i="2"/>
  <c r="AF4645" i="2"/>
  <c r="AK4645" i="2"/>
  <c r="AG4645" i="2"/>
  <c r="AH4645" i="2"/>
  <c r="AI4645" i="2"/>
  <c r="AJ4645" i="2"/>
  <c r="AF4646" i="2"/>
  <c r="AK4646" i="2" s="1"/>
  <c r="AG4646" i="2"/>
  <c r="AH4646" i="2"/>
  <c r="AI4646" i="2"/>
  <c r="AJ4646" i="2"/>
  <c r="AF4647" i="2"/>
  <c r="AK4647" i="2" s="1"/>
  <c r="AL4647" i="2" s="1"/>
  <c r="AG4647" i="2"/>
  <c r="AH4647" i="2"/>
  <c r="AI4647" i="2"/>
  <c r="AJ4647" i="2"/>
  <c r="AF4648" i="2"/>
  <c r="AK4648" i="2" s="1"/>
  <c r="AG4648" i="2"/>
  <c r="AL4648" i="2" s="1"/>
  <c r="AH4648" i="2"/>
  <c r="AI4648" i="2"/>
  <c r="AJ4648" i="2"/>
  <c r="AF4649" i="2"/>
  <c r="AK4649" i="2" s="1"/>
  <c r="AG4649" i="2"/>
  <c r="AH4649" i="2"/>
  <c r="AI4649" i="2"/>
  <c r="AJ4649" i="2"/>
  <c r="AF4650" i="2"/>
  <c r="AK4650" i="2"/>
  <c r="AG4650" i="2"/>
  <c r="AH4650" i="2"/>
  <c r="AI4650" i="2"/>
  <c r="AJ4650" i="2"/>
  <c r="AF4651" i="2"/>
  <c r="AK4651" i="2" s="1"/>
  <c r="AG4651" i="2"/>
  <c r="AL4651" i="2" s="1"/>
  <c r="AH4651" i="2"/>
  <c r="AI4651" i="2"/>
  <c r="AJ4651" i="2"/>
  <c r="AF4652" i="2"/>
  <c r="AK4652" i="2" s="1"/>
  <c r="AL4652" i="2" s="1"/>
  <c r="AG4652" i="2"/>
  <c r="AH4652" i="2"/>
  <c r="AI4652" i="2"/>
  <c r="AJ4652" i="2"/>
  <c r="AF4653" i="2"/>
  <c r="AK4653" i="2"/>
  <c r="AG4653" i="2"/>
  <c r="AH4653" i="2"/>
  <c r="AI4653" i="2"/>
  <c r="AL4653" i="2" s="1"/>
  <c r="AJ4653" i="2"/>
  <c r="AF4654" i="2"/>
  <c r="AK4654" i="2" s="1"/>
  <c r="AG4654" i="2"/>
  <c r="AH4654" i="2"/>
  <c r="AL4654" i="2" s="1"/>
  <c r="AI4654" i="2"/>
  <c r="AJ4654" i="2"/>
  <c r="AF4655" i="2"/>
  <c r="AK4655" i="2" s="1"/>
  <c r="AG4655" i="2"/>
  <c r="AH4655" i="2"/>
  <c r="AL4655" i="2" s="1"/>
  <c r="AI4655" i="2"/>
  <c r="AJ4655" i="2"/>
  <c r="AF4656" i="2"/>
  <c r="AK4656" i="2" s="1"/>
  <c r="AL4656" i="2" s="1"/>
  <c r="AG4656" i="2"/>
  <c r="AH4656" i="2"/>
  <c r="AI4656" i="2"/>
  <c r="AJ4656" i="2"/>
  <c r="AF4657" i="2"/>
  <c r="AK4657" i="2"/>
  <c r="AG4657" i="2"/>
  <c r="AH4657" i="2"/>
  <c r="AL4657" i="2" s="1"/>
  <c r="AI4657" i="2"/>
  <c r="AJ4657" i="2"/>
  <c r="AF4658" i="2"/>
  <c r="AK4658" i="2"/>
  <c r="AG4658" i="2"/>
  <c r="AH4658" i="2"/>
  <c r="AI4658" i="2"/>
  <c r="AJ4658" i="2"/>
  <c r="AF4659" i="2"/>
  <c r="AK4659" i="2" s="1"/>
  <c r="AG4659" i="2"/>
  <c r="AH4659" i="2"/>
  <c r="AI4659" i="2"/>
  <c r="AJ4659" i="2"/>
  <c r="AF4660" i="2"/>
  <c r="AK4660" i="2" s="1"/>
  <c r="AG4660" i="2"/>
  <c r="AH4660" i="2"/>
  <c r="AI4660" i="2"/>
  <c r="AJ4660" i="2"/>
  <c r="AF4661" i="2"/>
  <c r="AK4661" i="2"/>
  <c r="AG4661" i="2"/>
  <c r="AL4661" i="2" s="1"/>
  <c r="AH4661" i="2"/>
  <c r="AI4661" i="2"/>
  <c r="AJ4661" i="2"/>
  <c r="AF4662" i="2"/>
  <c r="AK4662" i="2"/>
  <c r="AL4662" i="2"/>
  <c r="AG4662" i="2"/>
  <c r="AH4662" i="2"/>
  <c r="AI4662" i="2"/>
  <c r="AJ4662" i="2"/>
  <c r="AF4663" i="2"/>
  <c r="AK4663" i="2"/>
  <c r="AG4663" i="2"/>
  <c r="AH4663" i="2"/>
  <c r="AI4663" i="2"/>
  <c r="AJ4663" i="2"/>
  <c r="AF4664" i="2"/>
  <c r="AK4664" i="2"/>
  <c r="AL4664" i="2" s="1"/>
  <c r="AG4664" i="2"/>
  <c r="AH4664" i="2"/>
  <c r="AI4664" i="2"/>
  <c r="AJ4664" i="2"/>
  <c r="AF4665" i="2"/>
  <c r="AK4665" i="2"/>
  <c r="AG4665" i="2"/>
  <c r="AH4665" i="2"/>
  <c r="AI4665" i="2"/>
  <c r="AJ4665" i="2"/>
  <c r="AF4666" i="2"/>
  <c r="AK4666" i="2"/>
  <c r="AL4666" i="2" s="1"/>
  <c r="AG4666" i="2"/>
  <c r="AH4666" i="2"/>
  <c r="AI4666" i="2"/>
  <c r="AJ4666" i="2"/>
  <c r="AF4667" i="2"/>
  <c r="AK4667" i="2" s="1"/>
  <c r="AG4667" i="2"/>
  <c r="AH4667" i="2"/>
  <c r="AI4667" i="2"/>
  <c r="AJ4667" i="2"/>
  <c r="AL4667" i="2" s="1"/>
  <c r="AF4668" i="2"/>
  <c r="AK4668" i="2"/>
  <c r="AG4668" i="2"/>
  <c r="AH4668" i="2"/>
  <c r="AI4668" i="2"/>
  <c r="AJ4668" i="2"/>
  <c r="AF4669" i="2"/>
  <c r="AK4669" i="2" s="1"/>
  <c r="AG4669" i="2"/>
  <c r="AH4669" i="2"/>
  <c r="AI4669" i="2"/>
  <c r="AJ4669" i="2"/>
  <c r="AF4670" i="2"/>
  <c r="AK4670" i="2" s="1"/>
  <c r="AG4670" i="2"/>
  <c r="AH4670" i="2"/>
  <c r="AI4670" i="2"/>
  <c r="AJ4670" i="2"/>
  <c r="AF4671" i="2"/>
  <c r="AK4671" i="2" s="1"/>
  <c r="AG4671" i="2"/>
  <c r="AH4671" i="2"/>
  <c r="AI4671" i="2"/>
  <c r="AJ4671" i="2"/>
  <c r="AF4672" i="2"/>
  <c r="AK4672" i="2" s="1"/>
  <c r="AG4672" i="2"/>
  <c r="AL4672" i="2" s="1"/>
  <c r="AH4672" i="2"/>
  <c r="AI4672" i="2"/>
  <c r="AJ4672" i="2"/>
  <c r="AF4673" i="2"/>
  <c r="AK4673" i="2" s="1"/>
  <c r="AG4673" i="2"/>
  <c r="AH4673" i="2"/>
  <c r="AL4673" i="2" s="1"/>
  <c r="AI4673" i="2"/>
  <c r="AJ4673" i="2"/>
  <c r="AF4674" i="2"/>
  <c r="AK4674" i="2" s="1"/>
  <c r="AG4674" i="2"/>
  <c r="AH4674" i="2"/>
  <c r="AI4674" i="2"/>
  <c r="AJ4674" i="2"/>
  <c r="AF4675" i="2"/>
  <c r="AK4675" i="2"/>
  <c r="AG4675" i="2"/>
  <c r="AH4675" i="2"/>
  <c r="AI4675" i="2"/>
  <c r="AJ4675" i="2"/>
  <c r="AL4675" i="2" s="1"/>
  <c r="AF4676" i="2"/>
  <c r="AK4676" i="2"/>
  <c r="AL4676" i="2" s="1"/>
  <c r="AG4676" i="2"/>
  <c r="AH4676" i="2"/>
  <c r="AI4676" i="2"/>
  <c r="AJ4676" i="2"/>
  <c r="AF4677" i="2"/>
  <c r="AK4677" i="2" s="1"/>
  <c r="AG4677" i="2"/>
  <c r="AH4677" i="2"/>
  <c r="AI4677" i="2"/>
  <c r="AJ4677" i="2"/>
  <c r="AF4678" i="2"/>
  <c r="AK4678" i="2" s="1"/>
  <c r="AL4678" i="2" s="1"/>
  <c r="AG4678" i="2"/>
  <c r="AH4678" i="2"/>
  <c r="AI4678" i="2"/>
  <c r="AJ4678" i="2"/>
  <c r="AF4679" i="2"/>
  <c r="AK4679" i="2" s="1"/>
  <c r="AG4679" i="2"/>
  <c r="AH4679" i="2"/>
  <c r="AI4679" i="2"/>
  <c r="AJ4679" i="2"/>
  <c r="AF4680" i="2"/>
  <c r="AK4680" i="2" s="1"/>
  <c r="AG4680" i="2"/>
  <c r="AL4680" i="2" s="1"/>
  <c r="AH4680" i="2"/>
  <c r="AI4680" i="2"/>
  <c r="AJ4680" i="2"/>
  <c r="AF4681" i="2"/>
  <c r="AK4681" i="2" s="1"/>
  <c r="AG4681" i="2"/>
  <c r="AH4681" i="2"/>
  <c r="AL4681" i="2" s="1"/>
  <c r="AI4681" i="2"/>
  <c r="AJ4681" i="2"/>
  <c r="AF4682" i="2"/>
  <c r="AK4682" i="2" s="1"/>
  <c r="AG4682" i="2"/>
  <c r="AH4682" i="2"/>
  <c r="AI4682" i="2"/>
  <c r="AJ4682" i="2"/>
  <c r="AF4683" i="2"/>
  <c r="AK4683" i="2"/>
  <c r="AL4683" i="2" s="1"/>
  <c r="AG4683" i="2"/>
  <c r="AH4683" i="2"/>
  <c r="AI4683" i="2"/>
  <c r="AJ4683" i="2"/>
  <c r="AF4684" i="2"/>
  <c r="AK4684" i="2"/>
  <c r="AG4684" i="2"/>
  <c r="AH4684" i="2"/>
  <c r="AI4684" i="2"/>
  <c r="AJ4684" i="2"/>
  <c r="AF4685" i="2"/>
  <c r="AK4685" i="2" s="1"/>
  <c r="AL4685" i="2" s="1"/>
  <c r="AG4685" i="2"/>
  <c r="AH4685" i="2"/>
  <c r="AI4685" i="2"/>
  <c r="AJ4685" i="2"/>
  <c r="AF4686" i="2"/>
  <c r="AK4686" i="2" s="1"/>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F4690" i="2"/>
  <c r="AK4690" i="2" s="1"/>
  <c r="AG4690" i="2"/>
  <c r="AH4690" i="2"/>
  <c r="AI4690" i="2"/>
  <c r="AL4690" i="2" s="1"/>
  <c r="AJ4690" i="2"/>
  <c r="AF4691" i="2"/>
  <c r="AK4691" i="2" s="1"/>
  <c r="AG4691" i="2"/>
  <c r="AH4691" i="2"/>
  <c r="AI4691" i="2"/>
  <c r="AJ4691" i="2"/>
  <c r="AF4692" i="2"/>
  <c r="AK4692" i="2" s="1"/>
  <c r="AG4692" i="2"/>
  <c r="AH4692" i="2"/>
  <c r="AL4692" i="2" s="1"/>
  <c r="AI4692" i="2"/>
  <c r="AJ4692" i="2"/>
  <c r="AF4693" i="2"/>
  <c r="AG4693" i="2"/>
  <c r="AH4693" i="2"/>
  <c r="AI4693" i="2"/>
  <c r="AJ4693" i="2"/>
  <c r="AK4693" i="2"/>
  <c r="AF4694" i="2"/>
  <c r="AK4694" i="2" s="1"/>
  <c r="AG4694" i="2"/>
  <c r="AL4694" i="2" s="1"/>
  <c r="AH4694" i="2"/>
  <c r="AI4694" i="2"/>
  <c r="AJ4694" i="2"/>
  <c r="AF4695" i="2"/>
  <c r="AK4695" i="2" s="1"/>
  <c r="AL4695" i="2" s="1"/>
  <c r="AG4695" i="2"/>
  <c r="AH4695" i="2"/>
  <c r="AI4695" i="2"/>
  <c r="AJ4695" i="2"/>
  <c r="AF4696" i="2"/>
  <c r="AK4696" i="2"/>
  <c r="AL4696" i="2" s="1"/>
  <c r="AG4696" i="2"/>
  <c r="AH4696" i="2"/>
  <c r="AI4696" i="2"/>
  <c r="AJ4696" i="2"/>
  <c r="AF4697" i="2"/>
  <c r="AK4697" i="2" s="1"/>
  <c r="AG4697" i="2"/>
  <c r="AH4697" i="2"/>
  <c r="AI4697" i="2"/>
  <c r="AJ4697" i="2"/>
  <c r="AF4698" i="2"/>
  <c r="AK4698" i="2" s="1"/>
  <c r="AL4698" i="2" s="1"/>
  <c r="AG4698" i="2"/>
  <c r="AH4698" i="2"/>
  <c r="AI4698" i="2"/>
  <c r="AJ4698" i="2"/>
  <c r="AF4699" i="2"/>
  <c r="AK4699" i="2" s="1"/>
  <c r="AG4699" i="2"/>
  <c r="AH4699" i="2"/>
  <c r="AL4699" i="2" s="1"/>
  <c r="AI4699" i="2"/>
  <c r="AJ4699" i="2"/>
  <c r="AF4700" i="2"/>
  <c r="AK4700" i="2"/>
  <c r="AG4700" i="2"/>
  <c r="AH4700" i="2"/>
  <c r="AI4700" i="2"/>
  <c r="AJ4700" i="2"/>
  <c r="AF4701" i="2"/>
  <c r="AK4701" i="2"/>
  <c r="AG4701" i="2"/>
  <c r="AH4701" i="2"/>
  <c r="AL4701" i="2" s="1"/>
  <c r="AI4701" i="2"/>
  <c r="AJ4701" i="2"/>
  <c r="AF4702" i="2"/>
  <c r="AK4702" i="2"/>
  <c r="AG4702" i="2"/>
  <c r="AL4702" i="2" s="1"/>
  <c r="AH4702" i="2"/>
  <c r="AI4702" i="2"/>
  <c r="AJ4702" i="2"/>
  <c r="AF4703" i="2"/>
  <c r="AK4703" i="2" s="1"/>
  <c r="AG4703" i="2"/>
  <c r="AH4703" i="2"/>
  <c r="AI4703" i="2"/>
  <c r="AJ4703" i="2"/>
  <c r="AF4704" i="2"/>
  <c r="AK4704" i="2"/>
  <c r="AG4704" i="2"/>
  <c r="AH4704" i="2"/>
  <c r="AI4704" i="2"/>
  <c r="AJ4704" i="2"/>
  <c r="AF4705" i="2"/>
  <c r="AK4705" i="2" s="1"/>
  <c r="AG4705" i="2"/>
  <c r="AL4705" i="2" s="1"/>
  <c r="AH4705" i="2"/>
  <c r="AI4705" i="2"/>
  <c r="AJ4705" i="2"/>
  <c r="AF4706" i="2"/>
  <c r="AK4706" i="2" s="1"/>
  <c r="AL4706" i="2" s="1"/>
  <c r="AG4706" i="2"/>
  <c r="AH4706" i="2"/>
  <c r="AI4706" i="2"/>
  <c r="AJ4706" i="2"/>
  <c r="AF4707" i="2"/>
  <c r="AK4707" i="2"/>
  <c r="AG4707" i="2"/>
  <c r="AL4707" i="2" s="1"/>
  <c r="AH4707" i="2"/>
  <c r="AI4707" i="2"/>
  <c r="AJ4707" i="2"/>
  <c r="AF4708" i="2"/>
  <c r="AK4708" i="2" s="1"/>
  <c r="AG4708" i="2"/>
  <c r="AH4708" i="2"/>
  <c r="AL4708" i="2" s="1"/>
  <c r="AI4708" i="2"/>
  <c r="AJ4708" i="2"/>
  <c r="AF4709" i="2"/>
  <c r="AK4709" i="2" s="1"/>
  <c r="AG4709" i="2"/>
  <c r="AL4709" i="2"/>
  <c r="AH4709" i="2"/>
  <c r="AI4709" i="2"/>
  <c r="AJ4709" i="2"/>
  <c r="AF4710" i="2"/>
  <c r="AK4710" i="2" s="1"/>
  <c r="AG4710" i="2"/>
  <c r="AL4710" i="2" s="1"/>
  <c r="AH4710" i="2"/>
  <c r="AI4710" i="2"/>
  <c r="AJ4710" i="2"/>
  <c r="AF4711" i="2"/>
  <c r="AK4711" i="2" s="1"/>
  <c r="AG4711" i="2"/>
  <c r="AH4711" i="2"/>
  <c r="AI4711" i="2"/>
  <c r="AJ4711" i="2"/>
  <c r="AF4712" i="2"/>
  <c r="AK4712" i="2"/>
  <c r="AG4712" i="2"/>
  <c r="AH4712" i="2"/>
  <c r="AI4712" i="2"/>
  <c r="AJ4712" i="2"/>
  <c r="AL4712" i="2"/>
  <c r="AF4713" i="2"/>
  <c r="AK4713" i="2" s="1"/>
  <c r="AG4713" i="2"/>
  <c r="AH4713" i="2"/>
  <c r="AI4713" i="2"/>
  <c r="AJ4713" i="2"/>
  <c r="AF4714" i="2"/>
  <c r="AK4714" i="2" s="1"/>
  <c r="AG4714" i="2"/>
  <c r="AH4714" i="2"/>
  <c r="AI4714" i="2"/>
  <c r="AJ4714" i="2"/>
  <c r="AL4714" i="2" s="1"/>
  <c r="AF4715" i="2"/>
  <c r="AK4715" i="2" s="1"/>
  <c r="AG4715" i="2"/>
  <c r="AL4715" i="2" s="1"/>
  <c r="AH4715" i="2"/>
  <c r="AI4715" i="2"/>
  <c r="AJ4715" i="2"/>
  <c r="AF4716" i="2"/>
  <c r="AK4716" i="2" s="1"/>
  <c r="AG4716" i="2"/>
  <c r="AH4716" i="2"/>
  <c r="AI4716" i="2"/>
  <c r="AJ4716" i="2"/>
  <c r="AL4716" i="2" s="1"/>
  <c r="AF4717" i="2"/>
  <c r="AK4717" i="2"/>
  <c r="AG4717" i="2"/>
  <c r="AL4717" i="2" s="1"/>
  <c r="AH4717" i="2"/>
  <c r="AI4717" i="2"/>
  <c r="AJ4717" i="2"/>
  <c r="AF4718" i="2"/>
  <c r="AK4718" i="2"/>
  <c r="AG4718" i="2"/>
  <c r="AL4718" i="2" s="1"/>
  <c r="AH4718" i="2"/>
  <c r="AI4718" i="2"/>
  <c r="AJ4718" i="2"/>
  <c r="AF4719" i="2"/>
  <c r="AK4719" i="2" s="1"/>
  <c r="AL4719" i="2" s="1"/>
  <c r="AG4719" i="2"/>
  <c r="AH4719" i="2"/>
  <c r="AI4719" i="2"/>
  <c r="AJ4719" i="2"/>
  <c r="AF4720" i="2"/>
  <c r="AK4720" i="2" s="1"/>
  <c r="AG4720" i="2"/>
  <c r="AH4720" i="2"/>
  <c r="AL4720" i="2" s="1"/>
  <c r="AI4720" i="2"/>
  <c r="AJ4720" i="2"/>
  <c r="AF4721" i="2"/>
  <c r="AK4721" i="2" s="1"/>
  <c r="AL4721" i="2" s="1"/>
  <c r="AG4721" i="2"/>
  <c r="AH4721" i="2"/>
  <c r="AI4721" i="2"/>
  <c r="AJ4721" i="2"/>
  <c r="AF4722" i="2"/>
  <c r="AK4722" i="2" s="1"/>
  <c r="AG4722" i="2"/>
  <c r="AH4722" i="2"/>
  <c r="AI4722" i="2"/>
  <c r="AJ4722" i="2"/>
  <c r="AF4723" i="2"/>
  <c r="AK4723" i="2" s="1"/>
  <c r="AL4723" i="2" s="1"/>
  <c r="AG4723" i="2"/>
  <c r="AH4723" i="2"/>
  <c r="AI4723" i="2"/>
  <c r="AJ4723" i="2"/>
  <c r="AF4724" i="2"/>
  <c r="AK4724" i="2"/>
  <c r="AL4724" i="2" s="1"/>
  <c r="AG4724" i="2"/>
  <c r="AH4724" i="2"/>
  <c r="AI4724" i="2"/>
  <c r="AJ4724" i="2"/>
  <c r="AF4725" i="2"/>
  <c r="AK4725" i="2" s="1"/>
  <c r="AG4725" i="2"/>
  <c r="AH4725" i="2"/>
  <c r="AI4725" i="2"/>
  <c r="AJ4725" i="2"/>
  <c r="AF4726" i="2"/>
  <c r="AK4726" i="2" s="1"/>
  <c r="AG4726" i="2"/>
  <c r="AL4726" i="2" s="1"/>
  <c r="AH4726" i="2"/>
  <c r="AI4726" i="2"/>
  <c r="AJ4726" i="2"/>
  <c r="AF4727" i="2"/>
  <c r="AK4727" i="2" s="1"/>
  <c r="AG4727" i="2"/>
  <c r="AH4727" i="2"/>
  <c r="AL4727" i="2" s="1"/>
  <c r="AI4727" i="2"/>
  <c r="AJ4727" i="2"/>
  <c r="AF4728" i="2"/>
  <c r="AK4728" i="2"/>
  <c r="AL4728" i="2"/>
  <c r="AG4728" i="2"/>
  <c r="AH4728" i="2"/>
  <c r="AI4728" i="2"/>
  <c r="AJ4728" i="2"/>
  <c r="AF4729" i="2"/>
  <c r="AK4729" i="2"/>
  <c r="AG4729" i="2"/>
  <c r="AH4729" i="2"/>
  <c r="AI4729" i="2"/>
  <c r="AJ4729" i="2"/>
  <c r="AL4729" i="2" s="1"/>
  <c r="AF4730" i="2"/>
  <c r="AK4730" i="2" s="1"/>
  <c r="AL4730" i="2" s="1"/>
  <c r="AG4730" i="2"/>
  <c r="AH4730" i="2"/>
  <c r="AI4730" i="2"/>
  <c r="AJ4730" i="2"/>
  <c r="AF4731" i="2"/>
  <c r="AK4731" i="2" s="1"/>
  <c r="AG4731" i="2"/>
  <c r="AH4731" i="2"/>
  <c r="AI4731" i="2"/>
  <c r="AL4731" i="2" s="1"/>
  <c r="AJ4731" i="2"/>
  <c r="AF4732" i="2"/>
  <c r="AK4732" i="2"/>
  <c r="AG4732" i="2"/>
  <c r="AL4732" i="2" s="1"/>
  <c r="AH4732" i="2"/>
  <c r="AI4732" i="2"/>
  <c r="AJ4732" i="2"/>
  <c r="AF4733" i="2"/>
  <c r="AK4733" i="2" s="1"/>
  <c r="AG4733" i="2"/>
  <c r="AH4733" i="2"/>
  <c r="AI4733" i="2"/>
  <c r="AL4733" i="2" s="1"/>
  <c r="AJ4733" i="2"/>
  <c r="AF4734" i="2"/>
  <c r="AK4734" i="2"/>
  <c r="AG4734" i="2"/>
  <c r="AH4734" i="2"/>
  <c r="AI4734" i="2"/>
  <c r="AJ4734" i="2"/>
  <c r="AF4735" i="2"/>
  <c r="AK4735" i="2" s="1"/>
  <c r="AG4735" i="2"/>
  <c r="AL4735" i="2" s="1"/>
  <c r="AH4735" i="2"/>
  <c r="AI4735" i="2"/>
  <c r="AJ4735" i="2"/>
  <c r="AF4736" i="2"/>
  <c r="AK4736" i="2" s="1"/>
  <c r="AG4736" i="2"/>
  <c r="AH4736" i="2"/>
  <c r="AI4736" i="2"/>
  <c r="AJ4736" i="2"/>
  <c r="AF4737" i="2"/>
  <c r="AK4737" i="2"/>
  <c r="AG4737" i="2"/>
  <c r="AL4737" i="2" s="1"/>
  <c r="AH4737" i="2"/>
  <c r="AI4737" i="2"/>
  <c r="AJ4737" i="2"/>
  <c r="AF4738" i="2"/>
  <c r="AK4738" i="2"/>
  <c r="AG4738" i="2"/>
  <c r="AH4738" i="2"/>
  <c r="AI4738" i="2"/>
  <c r="AJ4738" i="2"/>
  <c r="AF4739" i="2"/>
  <c r="AK4739" i="2" s="1"/>
  <c r="AG4739" i="2"/>
  <c r="AL4739" i="2" s="1"/>
  <c r="AH4739" i="2"/>
  <c r="AI4739" i="2"/>
  <c r="AJ4739" i="2"/>
  <c r="AF4740" i="2"/>
  <c r="AK4740" i="2" s="1"/>
  <c r="AG4740" i="2"/>
  <c r="AL4740" i="2" s="1"/>
  <c r="AH4740" i="2"/>
  <c r="AI4740" i="2"/>
  <c r="AJ4740" i="2"/>
  <c r="AF4741" i="2"/>
  <c r="AK4741" i="2" s="1"/>
  <c r="AL4741" i="2" s="1"/>
  <c r="AG4741" i="2"/>
  <c r="AH4741" i="2"/>
  <c r="AI4741" i="2"/>
  <c r="AJ4741" i="2"/>
  <c r="AF4742" i="2"/>
  <c r="AK4742" i="2" s="1"/>
  <c r="AL4742" i="2" s="1"/>
  <c r="AG4742" i="2"/>
  <c r="AH4742" i="2"/>
  <c r="AI4742" i="2"/>
  <c r="AJ4742" i="2"/>
  <c r="AF4743" i="2"/>
  <c r="AK4743" i="2"/>
  <c r="AG4743" i="2"/>
  <c r="AH4743" i="2"/>
  <c r="AL4743" i="2" s="1"/>
  <c r="AI4743" i="2"/>
  <c r="AJ4743" i="2"/>
  <c r="AF4744" i="2"/>
  <c r="AK4744" i="2"/>
  <c r="AG4744" i="2"/>
  <c r="AL4744" i="2" s="1"/>
  <c r="AH4744" i="2"/>
  <c r="AI4744" i="2"/>
  <c r="AJ4744" i="2"/>
  <c r="AF4745" i="2"/>
  <c r="AK4745" i="2"/>
  <c r="AG4745" i="2"/>
  <c r="AL4745" i="2" s="1"/>
  <c r="AH4745" i="2"/>
  <c r="AI4745" i="2"/>
  <c r="AJ4745" i="2"/>
  <c r="AF4746" i="2"/>
  <c r="AK4746" i="2" s="1"/>
  <c r="AG4746" i="2"/>
  <c r="AH4746" i="2"/>
  <c r="AI4746" i="2"/>
  <c r="AJ4746" i="2"/>
  <c r="AF4747" i="2"/>
  <c r="AK4747" i="2"/>
  <c r="AG4747" i="2"/>
  <c r="AH4747" i="2"/>
  <c r="AL4747" i="2" s="1"/>
  <c r="AI4747" i="2"/>
  <c r="AJ4747" i="2"/>
  <c r="AF4748" i="2"/>
  <c r="AK4748" i="2"/>
  <c r="AG4748" i="2"/>
  <c r="AL4748" i="2" s="1"/>
  <c r="AH4748" i="2"/>
  <c r="AI4748" i="2"/>
  <c r="AJ4748" i="2"/>
  <c r="AF4749" i="2"/>
  <c r="AK4749" i="2" s="1"/>
  <c r="AL4749" i="2" s="1"/>
  <c r="AG4749" i="2"/>
  <c r="AH4749" i="2"/>
  <c r="AI4749" i="2"/>
  <c r="AJ4749" i="2"/>
  <c r="AF4750" i="2"/>
  <c r="AK4750" i="2"/>
  <c r="AL4750" i="2" s="1"/>
  <c r="AG4750" i="2"/>
  <c r="AH4750" i="2"/>
  <c r="AI4750" i="2"/>
  <c r="AJ4750" i="2"/>
  <c r="AF4751" i="2"/>
  <c r="AK4751" i="2" s="1"/>
  <c r="AG4751" i="2"/>
  <c r="AH4751" i="2"/>
  <c r="AI4751" i="2"/>
  <c r="AJ4751" i="2"/>
  <c r="AF4752" i="2"/>
  <c r="AK4752" i="2"/>
  <c r="AL4752" i="2" s="1"/>
  <c r="AG4752" i="2"/>
  <c r="AH4752" i="2"/>
  <c r="AI4752" i="2"/>
  <c r="AJ4752" i="2"/>
  <c r="AF4753" i="2"/>
  <c r="AK4753" i="2" s="1"/>
  <c r="AG4753" i="2"/>
  <c r="AL4753" i="2"/>
  <c r="AH4753" i="2"/>
  <c r="AI4753" i="2"/>
  <c r="AJ4753" i="2"/>
  <c r="AF4754" i="2"/>
  <c r="AK4754" i="2" s="1"/>
  <c r="AG4754" i="2"/>
  <c r="AH4754" i="2"/>
  <c r="AI4754" i="2"/>
  <c r="AJ4754" i="2"/>
  <c r="AF4755" i="2"/>
  <c r="AK4755" i="2"/>
  <c r="AG4755" i="2"/>
  <c r="AH4755" i="2"/>
  <c r="AL4755" i="2" s="1"/>
  <c r="AI4755" i="2"/>
  <c r="AJ4755" i="2"/>
  <c r="AF4756" i="2"/>
  <c r="AK4756" i="2"/>
  <c r="AG4756" i="2"/>
  <c r="AL4756" i="2" s="1"/>
  <c r="AH4756" i="2"/>
  <c r="AI4756" i="2"/>
  <c r="AJ4756" i="2"/>
  <c r="AF4757" i="2"/>
  <c r="AK4757" i="2" s="1"/>
  <c r="AL4757" i="2" s="1"/>
  <c r="AG4757" i="2"/>
  <c r="AH4757" i="2"/>
  <c r="AI4757" i="2"/>
  <c r="AJ4757" i="2"/>
  <c r="AF4758" i="2"/>
  <c r="AK4758" i="2"/>
  <c r="AL4758" i="2" s="1"/>
  <c r="AG4758" i="2"/>
  <c r="AH4758" i="2"/>
  <c r="AI4758" i="2"/>
  <c r="AJ4758" i="2"/>
  <c r="AF4759" i="2"/>
  <c r="AK4759" i="2"/>
  <c r="AG4759" i="2"/>
  <c r="AH4759" i="2"/>
  <c r="AI4759" i="2"/>
  <c r="AJ4759" i="2"/>
  <c r="AF4760" i="2"/>
  <c r="AK4760" i="2"/>
  <c r="AG4760" i="2"/>
  <c r="AH4760" i="2"/>
  <c r="AI4760" i="2"/>
  <c r="AJ4760" i="2"/>
  <c r="AF4761" i="2"/>
  <c r="AK4761" i="2"/>
  <c r="AG4761" i="2"/>
  <c r="AH4761" i="2"/>
  <c r="AI4761" i="2"/>
  <c r="AJ4761" i="2"/>
  <c r="AF4762" i="2"/>
  <c r="AK4762" i="2" s="1"/>
  <c r="AG4762" i="2"/>
  <c r="AL4762" i="2" s="1"/>
  <c r="AH4762" i="2"/>
  <c r="AI4762" i="2"/>
  <c r="AJ4762" i="2"/>
  <c r="AF4763" i="2"/>
  <c r="AK4763" i="2" s="1"/>
  <c r="AG4763" i="2"/>
  <c r="AL4763" i="2" s="1"/>
  <c r="AH4763" i="2"/>
  <c r="AI4763" i="2"/>
  <c r="AJ4763" i="2"/>
  <c r="AF4764" i="2"/>
  <c r="AK4764" i="2"/>
  <c r="AL4764" i="2" s="1"/>
  <c r="AG4764" i="2"/>
  <c r="AH4764" i="2"/>
  <c r="AI4764" i="2"/>
  <c r="AJ4764" i="2"/>
  <c r="AF4765" i="2"/>
  <c r="AK4765" i="2"/>
  <c r="AG4765" i="2"/>
  <c r="AL4765" i="2" s="1"/>
  <c r="AH4765" i="2"/>
  <c r="AI4765" i="2"/>
  <c r="AJ4765" i="2"/>
  <c r="AF4766" i="2"/>
  <c r="AK4766" i="2"/>
  <c r="AG4766" i="2"/>
  <c r="AH4766" i="2"/>
  <c r="AI4766" i="2"/>
  <c r="AJ4766" i="2"/>
  <c r="AF4767" i="2"/>
  <c r="AK4767" i="2" s="1"/>
  <c r="AG4767" i="2"/>
  <c r="AH4767" i="2"/>
  <c r="AI4767" i="2"/>
  <c r="AJ4767" i="2"/>
  <c r="AF4768" i="2"/>
  <c r="AK4768" i="2" s="1"/>
  <c r="AG4768" i="2"/>
  <c r="AH4768" i="2"/>
  <c r="AI4768" i="2"/>
  <c r="AJ4768" i="2"/>
  <c r="AF4769" i="2"/>
  <c r="AK4769" i="2" s="1"/>
  <c r="AG4769" i="2"/>
  <c r="AL4769" i="2" s="1"/>
  <c r="AH4769" i="2"/>
  <c r="AI4769" i="2"/>
  <c r="AJ4769" i="2"/>
  <c r="AF4770" i="2"/>
  <c r="AK4770" i="2" s="1"/>
  <c r="AG4770" i="2"/>
  <c r="AH4770" i="2"/>
  <c r="AI4770" i="2"/>
  <c r="AJ4770" i="2"/>
  <c r="AF4771" i="2"/>
  <c r="AK4771" i="2"/>
  <c r="AG4771" i="2"/>
  <c r="AH4771" i="2"/>
  <c r="AL4771" i="2" s="1"/>
  <c r="AI4771" i="2"/>
  <c r="AJ4771" i="2"/>
  <c r="AF4772" i="2"/>
  <c r="AK4772" i="2" s="1"/>
  <c r="AG4772" i="2"/>
  <c r="AH4772" i="2"/>
  <c r="AI4772" i="2"/>
  <c r="AJ4772" i="2"/>
  <c r="AF4773" i="2"/>
  <c r="AK4773" i="2"/>
  <c r="AG4773" i="2"/>
  <c r="AL4773" i="2" s="1"/>
  <c r="AH4773" i="2"/>
  <c r="AI4773" i="2"/>
  <c r="AJ4773" i="2"/>
  <c r="AF4774" i="2"/>
  <c r="AK4774" i="2"/>
  <c r="AG4774" i="2"/>
  <c r="AH4774" i="2"/>
  <c r="AL4774" i="2"/>
  <c r="AI4774" i="2"/>
  <c r="AJ4774" i="2"/>
  <c r="AF4775" i="2"/>
  <c r="AK4775" i="2" s="1"/>
  <c r="AG4775" i="2"/>
  <c r="AH4775" i="2"/>
  <c r="AI4775" i="2"/>
  <c r="AJ4775" i="2"/>
  <c r="AF4776" i="2"/>
  <c r="AK4776" i="2" s="1"/>
  <c r="AL4776" i="2" s="1"/>
  <c r="AG4776" i="2"/>
  <c r="AH4776" i="2"/>
  <c r="AI4776" i="2"/>
  <c r="AJ4776" i="2"/>
  <c r="AF4777" i="2"/>
  <c r="AK4777" i="2"/>
  <c r="AG4777" i="2"/>
  <c r="AH4777" i="2"/>
  <c r="AL4777" i="2" s="1"/>
  <c r="AI4777" i="2"/>
  <c r="AJ4777" i="2"/>
  <c r="AF4778" i="2"/>
  <c r="AK4778" i="2" s="1"/>
  <c r="AG4778" i="2"/>
  <c r="AH4778" i="2"/>
  <c r="AI4778" i="2"/>
  <c r="AJ4778" i="2"/>
  <c r="AF4779" i="2"/>
  <c r="AK4779" i="2"/>
  <c r="AL4779" i="2" s="1"/>
  <c r="AG4779" i="2"/>
  <c r="AH4779" i="2"/>
  <c r="AI4779" i="2"/>
  <c r="AJ4779" i="2"/>
  <c r="AF4780" i="2"/>
  <c r="AK4780" i="2" s="1"/>
  <c r="AG4780" i="2"/>
  <c r="AH4780" i="2"/>
  <c r="AI4780" i="2"/>
  <c r="AJ4780" i="2"/>
  <c r="AF4781" i="2"/>
  <c r="AK4781" i="2"/>
  <c r="AL4781" i="2" s="1"/>
  <c r="AG4781" i="2"/>
  <c r="AH4781" i="2"/>
  <c r="AI4781" i="2"/>
  <c r="AJ4781" i="2"/>
  <c r="AF4782" i="2"/>
  <c r="AK4782" i="2"/>
  <c r="AG4782" i="2"/>
  <c r="AH4782" i="2"/>
  <c r="AI4782" i="2"/>
  <c r="AJ4782" i="2"/>
  <c r="AL4782" i="2" s="1"/>
  <c r="AF4783" i="2"/>
  <c r="AK4783" i="2" s="1"/>
  <c r="AG4783" i="2"/>
  <c r="AL4783" i="2" s="1"/>
  <c r="AH4783" i="2"/>
  <c r="AI4783" i="2"/>
  <c r="AJ4783" i="2"/>
  <c r="AF4784" i="2"/>
  <c r="AK4784" i="2" s="1"/>
  <c r="AL4784" i="2" s="1"/>
  <c r="AG4784" i="2"/>
  <c r="AH4784" i="2"/>
  <c r="AI4784" i="2"/>
  <c r="AJ4784" i="2"/>
  <c r="AF4785" i="2"/>
  <c r="AK4785" i="2" s="1"/>
  <c r="AL4785" i="2" s="1"/>
  <c r="AG4785" i="2"/>
  <c r="AH4785" i="2"/>
  <c r="AI4785" i="2"/>
  <c r="AJ4785" i="2"/>
  <c r="AF4786" i="2"/>
  <c r="AK4786" i="2" s="1"/>
  <c r="AG4786" i="2"/>
  <c r="AH4786" i="2"/>
  <c r="AL4786" i="2" s="1"/>
  <c r="AI4786" i="2"/>
  <c r="AJ4786" i="2"/>
  <c r="AF4787" i="2"/>
  <c r="AK4787" i="2" s="1"/>
  <c r="AG4787" i="2"/>
  <c r="AH4787" i="2"/>
  <c r="AI4787" i="2"/>
  <c r="AJ4787" i="2"/>
  <c r="AF4788" i="2"/>
  <c r="AK4788" i="2" s="1"/>
  <c r="AG4788" i="2"/>
  <c r="AL4788" i="2" s="1"/>
  <c r="AH4788" i="2"/>
  <c r="AI4788" i="2"/>
  <c r="AJ4788" i="2"/>
  <c r="AF4789" i="2"/>
  <c r="AK4789" i="2" s="1"/>
  <c r="AL4789" i="2" s="1"/>
  <c r="AG4789" i="2"/>
  <c r="AH4789" i="2"/>
  <c r="AI4789" i="2"/>
  <c r="AJ4789" i="2"/>
  <c r="AF4790" i="2"/>
  <c r="AK4790" i="2"/>
  <c r="AG4790" i="2"/>
  <c r="AL4790" i="2" s="1"/>
  <c r="AH4790" i="2"/>
  <c r="AI4790" i="2"/>
  <c r="AJ4790" i="2"/>
  <c r="AF4791" i="2"/>
  <c r="AK4791" i="2"/>
  <c r="AG4791" i="2"/>
  <c r="AL4791" i="2" s="1"/>
  <c r="AH4791" i="2"/>
  <c r="AI4791" i="2"/>
  <c r="AJ4791" i="2"/>
  <c r="AF4792" i="2"/>
  <c r="AK4792" i="2" s="1"/>
  <c r="AL4792" i="2" s="1"/>
  <c r="AG4792" i="2"/>
  <c r="AH4792" i="2"/>
  <c r="AI4792" i="2"/>
  <c r="AJ4792" i="2"/>
  <c r="AF4793" i="2"/>
  <c r="AK4793" i="2" s="1"/>
  <c r="AG4793" i="2"/>
  <c r="AH4793" i="2"/>
  <c r="AI4793" i="2"/>
  <c r="AJ4793" i="2"/>
  <c r="AF4794" i="2"/>
  <c r="AK4794" i="2" s="1"/>
  <c r="AL4794" i="2" s="1"/>
  <c r="AG4794" i="2"/>
  <c r="AH4794" i="2"/>
  <c r="AI4794" i="2"/>
  <c r="AJ4794" i="2"/>
  <c r="AF4795" i="2"/>
  <c r="AK4795" i="2" s="1"/>
  <c r="AG4795" i="2"/>
  <c r="AH4795" i="2"/>
  <c r="AL4795" i="2" s="1"/>
  <c r="AI4795" i="2"/>
  <c r="AJ4795" i="2"/>
  <c r="AF4796" i="2"/>
  <c r="AK4796" i="2"/>
  <c r="AG4796" i="2"/>
  <c r="AH4796" i="2"/>
  <c r="AI4796" i="2"/>
  <c r="AJ4796" i="2"/>
  <c r="AF4797" i="2"/>
  <c r="AK4797" i="2" s="1"/>
  <c r="AG4797" i="2"/>
  <c r="AL4797" i="2" s="1"/>
  <c r="AH4797" i="2"/>
  <c r="AI4797" i="2"/>
  <c r="AJ4797" i="2"/>
  <c r="AF4798" i="2"/>
  <c r="AK4798" i="2"/>
  <c r="AG4798" i="2"/>
  <c r="AH4798" i="2"/>
  <c r="AI4798" i="2"/>
  <c r="AJ4798" i="2"/>
  <c r="AF4799" i="2"/>
  <c r="AK4799" i="2" s="1"/>
  <c r="AG4799" i="2"/>
  <c r="AL4799" i="2" s="1"/>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L4804" i="2" s="1"/>
  <c r="AF4805" i="2"/>
  <c r="AK4805" i="2" s="1"/>
  <c r="AG4805" i="2"/>
  <c r="AH4805" i="2"/>
  <c r="AI4805" i="2"/>
  <c r="AJ4805" i="2"/>
  <c r="AF4806" i="2"/>
  <c r="AK4806" i="2" s="1"/>
  <c r="AG4806" i="2"/>
  <c r="AH4806" i="2"/>
  <c r="AI4806" i="2"/>
  <c r="AJ4806" i="2"/>
  <c r="AF4807" i="2"/>
  <c r="AK4807" i="2"/>
  <c r="AG4807" i="2"/>
  <c r="AH4807" i="2"/>
  <c r="AI4807" i="2"/>
  <c r="AJ4807" i="2"/>
  <c r="AF4808" i="2"/>
  <c r="AK4808" i="2" s="1"/>
  <c r="AG4808" i="2"/>
  <c r="AL4808" i="2" s="1"/>
  <c r="AH4808" i="2"/>
  <c r="AI4808" i="2"/>
  <c r="AJ4808" i="2"/>
  <c r="AF4809" i="2"/>
  <c r="AK4809" i="2" s="1"/>
  <c r="AG4809" i="2"/>
  <c r="AL4809" i="2" s="1"/>
  <c r="AH4809" i="2"/>
  <c r="AI4809" i="2"/>
  <c r="AJ4809" i="2"/>
  <c r="AF4810" i="2"/>
  <c r="AK4810" i="2" s="1"/>
  <c r="AL4810" i="2" s="1"/>
  <c r="AG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L4815" i="2" s="1"/>
  <c r="AJ4815" i="2"/>
  <c r="AF4816" i="2"/>
  <c r="AK4816" i="2"/>
  <c r="AG4816" i="2"/>
  <c r="AH4816" i="2"/>
  <c r="AI4816" i="2"/>
  <c r="AJ4816" i="2"/>
  <c r="AF4817" i="2"/>
  <c r="AK4817" i="2" s="1"/>
  <c r="AG4817" i="2"/>
  <c r="AH4817" i="2"/>
  <c r="AI4817" i="2"/>
  <c r="AL4817" i="2" s="1"/>
  <c r="AJ4817" i="2"/>
  <c r="AF4818" i="2"/>
  <c r="AK4818" i="2"/>
  <c r="AG4818" i="2"/>
  <c r="AH4818" i="2"/>
  <c r="AI4818" i="2"/>
  <c r="AJ4818" i="2"/>
  <c r="AF4819" i="2"/>
  <c r="AK4819" i="2" s="1"/>
  <c r="AG4819" i="2"/>
  <c r="AH4819" i="2"/>
  <c r="AI4819" i="2"/>
  <c r="AJ4819" i="2"/>
  <c r="AF4820" i="2"/>
  <c r="AK4820" i="2"/>
  <c r="AG4820" i="2"/>
  <c r="AH4820" i="2"/>
  <c r="AI4820" i="2"/>
  <c r="AL4820" i="2" s="1"/>
  <c r="AJ4820" i="2"/>
  <c r="AF4821" i="2"/>
  <c r="AK4821" i="2" s="1"/>
  <c r="AG4821" i="2"/>
  <c r="AH4821" i="2"/>
  <c r="AL4821" i="2" s="1"/>
  <c r="AI4821" i="2"/>
  <c r="AJ4821" i="2"/>
  <c r="AF4822" i="2"/>
  <c r="AK4822" i="2" s="1"/>
  <c r="AG4822" i="2"/>
  <c r="AL4822" i="2" s="1"/>
  <c r="AH4822" i="2"/>
  <c r="AI4822" i="2"/>
  <c r="AJ4822" i="2"/>
  <c r="AF4823" i="2"/>
  <c r="AK4823" i="2" s="1"/>
  <c r="AL4823" i="2" s="1"/>
  <c r="AG4823" i="2"/>
  <c r="AH4823" i="2"/>
  <c r="AI4823" i="2"/>
  <c r="AJ4823" i="2"/>
  <c r="AF4824" i="2"/>
  <c r="AK4824" i="2" s="1"/>
  <c r="AL4824" i="2" s="1"/>
  <c r="AG4824" i="2"/>
  <c r="AH4824" i="2"/>
  <c r="AI4824" i="2"/>
  <c r="AJ4824" i="2"/>
  <c r="AF4825" i="2"/>
  <c r="AK4825" i="2"/>
  <c r="AG4825" i="2"/>
  <c r="AH4825" i="2"/>
  <c r="AI4825" i="2"/>
  <c r="AJ4825" i="2"/>
  <c r="AF4826" i="2"/>
  <c r="AK4826" i="2" s="1"/>
  <c r="AL4826" i="2" s="1"/>
  <c r="AG4826" i="2"/>
  <c r="AH4826" i="2"/>
  <c r="AI4826" i="2"/>
  <c r="AJ4826" i="2"/>
  <c r="AF4827" i="2"/>
  <c r="AK4827" i="2"/>
  <c r="AG4827" i="2"/>
  <c r="AH4827" i="2"/>
  <c r="AL4827" i="2" s="1"/>
  <c r="AI4827" i="2"/>
  <c r="AJ4827" i="2"/>
  <c r="AF4828" i="2"/>
  <c r="AK4828" i="2"/>
  <c r="AG4828" i="2"/>
  <c r="AL4828" i="2" s="1"/>
  <c r="AH4828" i="2"/>
  <c r="AI4828" i="2"/>
  <c r="AJ4828" i="2"/>
  <c r="AF4829" i="2"/>
  <c r="AK4829" i="2"/>
  <c r="AG4829" i="2"/>
  <c r="AH4829" i="2"/>
  <c r="AI4829" i="2"/>
  <c r="AJ4829" i="2"/>
  <c r="AF4830" i="2"/>
  <c r="AK4830" i="2" s="1"/>
  <c r="AG4830" i="2"/>
  <c r="AH4830" i="2"/>
  <c r="AI4830" i="2"/>
  <c r="AJ4830" i="2"/>
  <c r="AF4831" i="2"/>
  <c r="AK4831" i="2" s="1"/>
  <c r="AG4831" i="2"/>
  <c r="AH4831" i="2"/>
  <c r="AI4831" i="2"/>
  <c r="AJ4831" i="2"/>
  <c r="AF4832" i="2"/>
  <c r="AK4832" i="2" s="1"/>
  <c r="AL4832" i="2" s="1"/>
  <c r="AG4832" i="2"/>
  <c r="AH4832" i="2"/>
  <c r="AI4832" i="2"/>
  <c r="AJ4832" i="2"/>
  <c r="AF4833" i="2"/>
  <c r="AK4833" i="2" s="1"/>
  <c r="AL4833" i="2" s="1"/>
  <c r="AG4833" i="2"/>
  <c r="AH4833" i="2"/>
  <c r="AI4833" i="2"/>
  <c r="AJ4833" i="2"/>
  <c r="AF4834" i="2"/>
  <c r="AK4834" i="2"/>
  <c r="AG4834" i="2"/>
  <c r="AL4834" i="2" s="1"/>
  <c r="AH4834" i="2"/>
  <c r="AI4834" i="2"/>
  <c r="AJ4834" i="2"/>
  <c r="AF4835" i="2"/>
  <c r="AK4835" i="2"/>
  <c r="AG4835" i="2"/>
  <c r="AH4835" i="2"/>
  <c r="AI4835" i="2"/>
  <c r="AJ4835" i="2"/>
  <c r="AL4835" i="2" s="1"/>
  <c r="AF4836" i="2"/>
  <c r="AK4836" i="2" s="1"/>
  <c r="AL4836" i="2" s="1"/>
  <c r="AG4836" i="2"/>
  <c r="AH4836" i="2"/>
  <c r="AI4836" i="2"/>
  <c r="AJ4836" i="2"/>
  <c r="AF4837" i="2"/>
  <c r="AK4837" i="2"/>
  <c r="AG4837" i="2"/>
  <c r="AH4837" i="2"/>
  <c r="AI4837" i="2"/>
  <c r="AJ4837" i="2"/>
  <c r="AL4837" i="2" s="1"/>
  <c r="AF4838" i="2"/>
  <c r="AK4838" i="2" s="1"/>
  <c r="AG4838" i="2"/>
  <c r="AH4838" i="2"/>
  <c r="AI4838" i="2"/>
  <c r="AJ4838" i="2"/>
  <c r="AF4839" i="2"/>
  <c r="AK4839" i="2" s="1"/>
  <c r="AG4839" i="2"/>
  <c r="AH4839" i="2"/>
  <c r="AI4839" i="2"/>
  <c r="AJ4839" i="2"/>
  <c r="AF4840" i="2"/>
  <c r="AK4840" i="2" s="1"/>
  <c r="AL4840" i="2" s="1"/>
  <c r="AG4840" i="2"/>
  <c r="AH4840" i="2"/>
  <c r="AI4840" i="2"/>
  <c r="AJ4840" i="2"/>
  <c r="AF4841" i="2"/>
  <c r="AK4841" i="2" s="1"/>
  <c r="AL4841" i="2" s="1"/>
  <c r="AG4841" i="2"/>
  <c r="AH4841" i="2"/>
  <c r="AI4841" i="2"/>
  <c r="AJ4841" i="2"/>
  <c r="AF4842" i="2"/>
  <c r="AK4842" i="2"/>
  <c r="AG4842" i="2"/>
  <c r="AH4842" i="2"/>
  <c r="AL4842" i="2" s="1"/>
  <c r="AI4842" i="2"/>
  <c r="AJ4842" i="2"/>
  <c r="AF4843" i="2"/>
  <c r="AK4843" i="2"/>
  <c r="AG4843" i="2"/>
  <c r="AL4843" i="2" s="1"/>
  <c r="AH4843" i="2"/>
  <c r="AI4843" i="2"/>
  <c r="AJ4843" i="2"/>
  <c r="AF4844" i="2"/>
  <c r="AK4844" i="2" s="1"/>
  <c r="AL4844" i="2" s="1"/>
  <c r="AG4844" i="2"/>
  <c r="AH4844" i="2"/>
  <c r="AI4844" i="2"/>
  <c r="AJ4844" i="2"/>
  <c r="AF4845" i="2"/>
  <c r="AK4845" i="2"/>
  <c r="AL4845" i="2" s="1"/>
  <c r="AG4845" i="2"/>
  <c r="AH4845" i="2"/>
  <c r="AI4845" i="2"/>
  <c r="AJ4845" i="2"/>
  <c r="AF4846" i="2"/>
  <c r="AK4846" i="2"/>
  <c r="AG4846" i="2"/>
  <c r="AH4846" i="2"/>
  <c r="AI4846" i="2"/>
  <c r="AJ4846" i="2"/>
  <c r="AL4846" i="2"/>
  <c r="AF4847" i="2"/>
  <c r="AK4847" i="2"/>
  <c r="AG4847" i="2"/>
  <c r="AL4847" i="2" s="1"/>
  <c r="AH4847" i="2"/>
  <c r="AI4847" i="2"/>
  <c r="AJ4847" i="2"/>
  <c r="AF4848" i="2"/>
  <c r="AK4848" i="2" s="1"/>
  <c r="AG4848" i="2"/>
  <c r="AH4848" i="2"/>
  <c r="AL4848" i="2" s="1"/>
  <c r="AI4848" i="2"/>
  <c r="AJ4848" i="2"/>
  <c r="AF4849" i="2"/>
  <c r="AK4849" i="2" s="1"/>
  <c r="AG4849" i="2"/>
  <c r="AH4849" i="2"/>
  <c r="AL4849" i="2" s="1"/>
  <c r="AI4849" i="2"/>
  <c r="AJ4849" i="2"/>
  <c r="AF4850" i="2"/>
  <c r="AK4850" i="2" s="1"/>
  <c r="AG4850" i="2"/>
  <c r="AH4850" i="2"/>
  <c r="AI4850" i="2"/>
  <c r="AJ4850" i="2"/>
  <c r="AF4851" i="2"/>
  <c r="AK4851" i="2"/>
  <c r="AG4851" i="2"/>
  <c r="AH4851" i="2"/>
  <c r="AL4851" i="2" s="1"/>
  <c r="AI4851" i="2"/>
  <c r="AJ4851" i="2"/>
  <c r="AF4852" i="2"/>
  <c r="AK4852" i="2"/>
  <c r="AG4852" i="2"/>
  <c r="AL4852" i="2" s="1"/>
  <c r="AH4852" i="2"/>
  <c r="AI4852" i="2"/>
  <c r="AJ4852" i="2"/>
  <c r="AF4853" i="2"/>
  <c r="AK4853" i="2"/>
  <c r="AG4853" i="2"/>
  <c r="AH4853" i="2"/>
  <c r="AI4853" i="2"/>
  <c r="AJ4853" i="2"/>
  <c r="AF4854" i="2"/>
  <c r="AK4854" i="2"/>
  <c r="AL4854" i="2" s="1"/>
  <c r="AG4854" i="2"/>
  <c r="AH4854" i="2"/>
  <c r="AI4854" i="2"/>
  <c r="AJ4854" i="2"/>
  <c r="AF4855" i="2"/>
  <c r="AK4855" i="2"/>
  <c r="AG4855" i="2"/>
  <c r="AL4855" i="2" s="1"/>
  <c r="AH4855" i="2"/>
  <c r="AI4855" i="2"/>
  <c r="AJ4855" i="2"/>
  <c r="AF4856" i="2"/>
  <c r="AK4856" i="2"/>
  <c r="AG4856" i="2"/>
  <c r="AH4856" i="2"/>
  <c r="AI4856" i="2"/>
  <c r="AJ4856" i="2"/>
  <c r="AF4857" i="2"/>
  <c r="AK4857" i="2" s="1"/>
  <c r="AG4857" i="2"/>
  <c r="AH4857" i="2"/>
  <c r="AI4857" i="2"/>
  <c r="AJ4857" i="2"/>
  <c r="AF4858" i="2"/>
  <c r="AK4858" i="2" s="1"/>
  <c r="AL4858" i="2" s="1"/>
  <c r="AG4858" i="2"/>
  <c r="AH4858" i="2"/>
  <c r="AI4858" i="2"/>
  <c r="AJ4858" i="2"/>
  <c r="AF4859" i="2"/>
  <c r="AK4859" i="2" s="1"/>
  <c r="AG4859" i="2"/>
  <c r="AH4859" i="2"/>
  <c r="AI4859" i="2"/>
  <c r="AJ4859" i="2"/>
  <c r="AF4860" i="2"/>
  <c r="AK4860" i="2"/>
  <c r="AG4860" i="2"/>
  <c r="AH4860" i="2"/>
  <c r="AI4860" i="2"/>
  <c r="AJ4860" i="2"/>
  <c r="AF4861" i="2"/>
  <c r="AK4861" i="2" s="1"/>
  <c r="AG4861" i="2"/>
  <c r="AL4861" i="2" s="1"/>
  <c r="AH4861" i="2"/>
  <c r="AI4861" i="2"/>
  <c r="AJ4861" i="2"/>
  <c r="AF4862" i="2"/>
  <c r="AK4862" i="2" s="1"/>
  <c r="AL4862" i="2" s="1"/>
  <c r="AG4862" i="2"/>
  <c r="AH4862" i="2"/>
  <c r="AI4862" i="2"/>
  <c r="AJ4862" i="2"/>
  <c r="AF4863" i="2"/>
  <c r="AK4863" i="2"/>
  <c r="AG4863" i="2"/>
  <c r="AH4863" i="2"/>
  <c r="AL4863" i="2" s="1"/>
  <c r="AI4863" i="2"/>
  <c r="AJ4863" i="2"/>
  <c r="AF4864" i="2"/>
  <c r="AK4864" i="2"/>
  <c r="AG4864" i="2"/>
  <c r="AL4864" i="2" s="1"/>
  <c r="AH4864" i="2"/>
  <c r="AI4864" i="2"/>
  <c r="AJ4864" i="2"/>
  <c r="AF4865" i="2"/>
  <c r="AK4865" i="2"/>
  <c r="AG4865" i="2"/>
  <c r="AH4865" i="2"/>
  <c r="AI4865" i="2"/>
  <c r="AJ4865" i="2"/>
  <c r="AL4865" i="2"/>
  <c r="AF4866" i="2"/>
  <c r="AK4866" i="2" s="1"/>
  <c r="AG4866" i="2"/>
  <c r="AH4866" i="2"/>
  <c r="AL4866" i="2" s="1"/>
  <c r="AI4866" i="2"/>
  <c r="AJ4866" i="2"/>
  <c r="AF4867" i="2"/>
  <c r="AK4867" i="2"/>
  <c r="AG4867" i="2"/>
  <c r="AL4867" i="2" s="1"/>
  <c r="AH4867" i="2"/>
  <c r="AI4867" i="2"/>
  <c r="AJ4867" i="2"/>
  <c r="AF4868" i="2"/>
  <c r="AK4868" i="2"/>
  <c r="AG4868" i="2"/>
  <c r="AL4868" i="2" s="1"/>
  <c r="AH4868" i="2"/>
  <c r="AI4868" i="2"/>
  <c r="AJ4868" i="2"/>
  <c r="AF4869" i="2"/>
  <c r="AK4869" i="2"/>
  <c r="AG4869" i="2"/>
  <c r="AL4869" i="2" s="1"/>
  <c r="AH4869" i="2"/>
  <c r="AI4869" i="2"/>
  <c r="AJ4869" i="2"/>
  <c r="AF4870" i="2"/>
  <c r="AK4870" i="2" s="1"/>
  <c r="AG4870" i="2"/>
  <c r="AH4870" i="2"/>
  <c r="AI4870" i="2"/>
  <c r="AJ4870" i="2"/>
  <c r="AF4871" i="2"/>
  <c r="AK4871" i="2" s="1"/>
  <c r="AG4871" i="2"/>
  <c r="AH4871" i="2"/>
  <c r="AI4871" i="2"/>
  <c r="AJ4871" i="2"/>
  <c r="AF4872" i="2"/>
  <c r="AK4872" i="2"/>
  <c r="AG4872" i="2"/>
  <c r="AH4872" i="2"/>
  <c r="AI4872" i="2"/>
  <c r="AJ4872" i="2"/>
  <c r="AF4873" i="2"/>
  <c r="AK4873" i="2" s="1"/>
  <c r="AG4873" i="2"/>
  <c r="AL4873" i="2" s="1"/>
  <c r="AH4873" i="2"/>
  <c r="AI4873" i="2"/>
  <c r="AJ4873" i="2"/>
  <c r="AF4874" i="2"/>
  <c r="AK4874" i="2" s="1"/>
  <c r="AL4874" i="2" s="1"/>
  <c r="AG4874" i="2"/>
  <c r="AH4874" i="2"/>
  <c r="AI4874" i="2"/>
  <c r="AJ4874" i="2"/>
  <c r="AF4875" i="2"/>
  <c r="AK4875" i="2" s="1"/>
  <c r="AG4875" i="2"/>
  <c r="AH4875" i="2"/>
  <c r="AI4875" i="2"/>
  <c r="AJ4875" i="2"/>
  <c r="AF4876" i="2"/>
  <c r="AK4876" i="2" s="1"/>
  <c r="AG4876" i="2"/>
  <c r="AL4876" i="2" s="1"/>
  <c r="AH4876" i="2"/>
  <c r="AI4876" i="2"/>
  <c r="AJ4876" i="2"/>
  <c r="AF4877" i="2"/>
  <c r="AG4877" i="2"/>
  <c r="AH4877" i="2"/>
  <c r="AL4877" i="2" s="1"/>
  <c r="AI4877" i="2"/>
  <c r="AJ4877" i="2"/>
  <c r="AK4877" i="2"/>
  <c r="AF4878" i="2"/>
  <c r="AK4878" i="2"/>
  <c r="AG4878" i="2"/>
  <c r="AH4878" i="2"/>
  <c r="AL4878" i="2"/>
  <c r="AI4878" i="2"/>
  <c r="AJ4878" i="2"/>
  <c r="AF4879" i="2"/>
  <c r="AK4879" i="2"/>
  <c r="AG4879" i="2"/>
  <c r="AH4879" i="2"/>
  <c r="AI4879" i="2"/>
  <c r="AJ4879" i="2"/>
  <c r="AF4880" i="2"/>
  <c r="AK4880" i="2" s="1"/>
  <c r="AL4880" i="2" s="1"/>
  <c r="AG4880" i="2"/>
  <c r="AH4880" i="2"/>
  <c r="AI4880" i="2"/>
  <c r="AJ4880" i="2"/>
  <c r="AF4881" i="2"/>
  <c r="AK4881" i="2"/>
  <c r="AG4881" i="2"/>
  <c r="AL4881" i="2" s="1"/>
  <c r="AH4881" i="2"/>
  <c r="AI4881" i="2"/>
  <c r="AJ4881" i="2"/>
  <c r="AF4882" i="2"/>
  <c r="AK4882" i="2"/>
  <c r="AG4882" i="2"/>
  <c r="AH4882" i="2"/>
  <c r="AI4882" i="2"/>
  <c r="AL4882" i="2" s="1"/>
  <c r="AJ4882" i="2"/>
  <c r="AF4883" i="2"/>
  <c r="AK4883" i="2"/>
  <c r="AG4883" i="2"/>
  <c r="AL4883" i="2" s="1"/>
  <c r="AH4883" i="2"/>
  <c r="AI4883" i="2"/>
  <c r="AJ4883" i="2"/>
  <c r="AF4884" i="2"/>
  <c r="AK4884" i="2" s="1"/>
  <c r="AG4884" i="2"/>
  <c r="AH4884" i="2"/>
  <c r="AL4884" i="2" s="1"/>
  <c r="AI4884" i="2"/>
  <c r="AJ4884" i="2"/>
  <c r="AF4885" i="2"/>
  <c r="AK4885" i="2" s="1"/>
  <c r="AL4885" i="2" s="1"/>
  <c r="AG4885" i="2"/>
  <c r="AH4885" i="2"/>
  <c r="AI4885" i="2"/>
  <c r="AJ4885" i="2"/>
  <c r="AF4886" i="2"/>
  <c r="AK4886" i="2" s="1"/>
  <c r="AG4886" i="2"/>
  <c r="AH4886" i="2"/>
  <c r="AL4886" i="2" s="1"/>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c r="AG4891" i="2"/>
  <c r="AH4891" i="2"/>
  <c r="AI4891" i="2"/>
  <c r="AL4891" i="2" s="1"/>
  <c r="AJ4891" i="2"/>
  <c r="AF4892" i="2"/>
  <c r="AK4892" i="2"/>
  <c r="AG4892" i="2"/>
  <c r="AH4892" i="2"/>
  <c r="AI4892" i="2"/>
  <c r="AJ4892" i="2"/>
  <c r="AF4893" i="2"/>
  <c r="AK4893" i="2" s="1"/>
  <c r="AG4893" i="2"/>
  <c r="AL4893" i="2" s="1"/>
  <c r="AH4893" i="2"/>
  <c r="AI4893" i="2"/>
  <c r="AJ4893" i="2"/>
  <c r="AF4894" i="2"/>
  <c r="AK4894" i="2" s="1"/>
  <c r="AL4894" i="2" s="1"/>
  <c r="AG4894" i="2"/>
  <c r="AH4894" i="2"/>
  <c r="AI4894" i="2"/>
  <c r="AJ4894" i="2"/>
  <c r="AF4895" i="2"/>
  <c r="AK4895" i="2" s="1"/>
  <c r="AG4895" i="2"/>
  <c r="AH4895" i="2"/>
  <c r="AL4895" i="2" s="1"/>
  <c r="AI4895" i="2"/>
  <c r="AJ4895" i="2"/>
  <c r="AF4896" i="2"/>
  <c r="AK4896" i="2" s="1"/>
  <c r="AL4896" i="2" s="1"/>
  <c r="AG4896" i="2"/>
  <c r="AH4896" i="2"/>
  <c r="AI4896" i="2"/>
  <c r="AJ4896" i="2"/>
  <c r="AF4897" i="2"/>
  <c r="AK4897" i="2" s="1"/>
  <c r="AG4897" i="2"/>
  <c r="AH4897" i="2"/>
  <c r="AL4897" i="2" s="1"/>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s="1"/>
  <c r="AG4904" i="2"/>
  <c r="AH4904" i="2"/>
  <c r="AI4904" i="2"/>
  <c r="AJ4904" i="2"/>
  <c r="AF4905" i="2"/>
  <c r="AK4905" i="2"/>
  <c r="AG4905" i="2"/>
  <c r="AH4905" i="2"/>
  <c r="AI4905" i="2"/>
  <c r="AJ4905" i="2"/>
  <c r="AF4906" i="2"/>
  <c r="AK4906" i="2" s="1"/>
  <c r="AG4906" i="2"/>
  <c r="AH4906" i="2"/>
  <c r="AI4906" i="2"/>
  <c r="AJ4906" i="2"/>
  <c r="AF4907" i="2"/>
  <c r="AK4907" i="2"/>
  <c r="AG4907" i="2"/>
  <c r="AL4907" i="2" s="1"/>
  <c r="AH4907" i="2"/>
  <c r="AI4907" i="2"/>
  <c r="AJ4907" i="2"/>
  <c r="AF4908" i="2"/>
  <c r="AK4908" i="2" s="1"/>
  <c r="AL4908" i="2" s="1"/>
  <c r="AG4908" i="2"/>
  <c r="AH4908" i="2"/>
  <c r="AI4908" i="2"/>
  <c r="AJ4908" i="2"/>
  <c r="AF4909" i="2"/>
  <c r="AK4909" i="2" s="1"/>
  <c r="AG4909" i="2"/>
  <c r="AH4909" i="2"/>
  <c r="AI4909" i="2"/>
  <c r="AJ4909" i="2"/>
  <c r="AF4910" i="2"/>
  <c r="AK4910" i="2" s="1"/>
  <c r="AG4910" i="2"/>
  <c r="AH4910" i="2"/>
  <c r="AI4910" i="2"/>
  <c r="AJ4910" i="2"/>
  <c r="AF4911" i="2"/>
  <c r="AK4911" i="2"/>
  <c r="AG4911" i="2"/>
  <c r="AH4911" i="2"/>
  <c r="AI4911" i="2"/>
  <c r="AJ4911" i="2"/>
  <c r="AF4912" i="2"/>
  <c r="AK4912" i="2" s="1"/>
  <c r="AG4912" i="2"/>
  <c r="AL4912" i="2" s="1"/>
  <c r="AH4912" i="2"/>
  <c r="AI4912" i="2"/>
  <c r="AJ4912" i="2"/>
  <c r="AF4913" i="2"/>
  <c r="AK4913" i="2"/>
  <c r="AG4913" i="2"/>
  <c r="AH4913" i="2"/>
  <c r="AI4913" i="2"/>
  <c r="AJ4913" i="2"/>
  <c r="AF4914" i="2"/>
  <c r="AK4914" i="2" s="1"/>
  <c r="AG4914" i="2"/>
  <c r="AH4914" i="2"/>
  <c r="AI4914" i="2"/>
  <c r="AJ4914" i="2"/>
  <c r="AF4915" i="2"/>
  <c r="AK4915" i="2"/>
  <c r="AG4915" i="2"/>
  <c r="AH4915" i="2"/>
  <c r="AL4915" i="2"/>
  <c r="AI4915" i="2"/>
  <c r="AJ4915" i="2"/>
  <c r="AF4916" i="2"/>
  <c r="AK4916" i="2"/>
  <c r="AG4916" i="2"/>
  <c r="AL4916" i="2" s="1"/>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L4921" i="2" s="1"/>
  <c r="AF4922" i="2"/>
  <c r="AK4922" i="2" s="1"/>
  <c r="AG4922" i="2"/>
  <c r="AL4922" i="2" s="1"/>
  <c r="AH4922" i="2"/>
  <c r="AI4922" i="2"/>
  <c r="AJ4922" i="2"/>
  <c r="AF4923" i="2"/>
  <c r="AK4923" i="2" s="1"/>
  <c r="AG4923" i="2"/>
  <c r="AH4923" i="2"/>
  <c r="AI4923" i="2"/>
  <c r="AL4923" i="2" s="1"/>
  <c r="AJ4923" i="2"/>
  <c r="AF4924" i="2"/>
  <c r="AK4924" i="2"/>
  <c r="AG4924" i="2"/>
  <c r="AL4924" i="2" s="1"/>
  <c r="AH4924" i="2"/>
  <c r="AI4924" i="2"/>
  <c r="AJ4924" i="2"/>
  <c r="AF4925" i="2"/>
  <c r="AK4925" i="2" s="1"/>
  <c r="AG4925" i="2"/>
  <c r="AH4925" i="2"/>
  <c r="AI4925" i="2"/>
  <c r="AJ4925" i="2"/>
  <c r="AF4926" i="2"/>
  <c r="AK4926" i="2" s="1"/>
  <c r="AL4926" i="2" s="1"/>
  <c r="AG4926" i="2"/>
  <c r="AH4926" i="2"/>
  <c r="AI4926" i="2"/>
  <c r="AJ4926" i="2"/>
  <c r="AF4927" i="2"/>
  <c r="AK4927" i="2" s="1"/>
  <c r="AG4927" i="2"/>
  <c r="AH4927" i="2"/>
  <c r="AI4927" i="2"/>
  <c r="AJ4927" i="2"/>
  <c r="AF4928" i="2"/>
  <c r="AK4928" i="2"/>
  <c r="AG4928" i="2"/>
  <c r="AL4928" i="2" s="1"/>
  <c r="AH4928" i="2"/>
  <c r="AI4928" i="2"/>
  <c r="AJ4928" i="2"/>
  <c r="AF4929" i="2"/>
  <c r="AK4929" i="2"/>
  <c r="AG4929" i="2"/>
  <c r="AL4929" i="2" s="1"/>
  <c r="AH4929" i="2"/>
  <c r="AI4929" i="2"/>
  <c r="AJ4929" i="2"/>
  <c r="AF4930" i="2"/>
  <c r="AK4930" i="2" s="1"/>
  <c r="AG4930" i="2"/>
  <c r="AL4930" i="2" s="1"/>
  <c r="AH4930" i="2"/>
  <c r="AI4930" i="2"/>
  <c r="AJ4930" i="2"/>
  <c r="AF4931" i="2"/>
  <c r="AK4931" i="2"/>
  <c r="AL4931" i="2" s="1"/>
  <c r="AG4931" i="2"/>
  <c r="AH4931" i="2"/>
  <c r="AI4931" i="2"/>
  <c r="AJ4931" i="2"/>
  <c r="AF4932" i="2"/>
  <c r="AK4932" i="2"/>
  <c r="AG4932" i="2"/>
  <c r="AL4932" i="2" s="1"/>
  <c r="AH4932" i="2"/>
  <c r="AI4932" i="2"/>
  <c r="AJ4932" i="2"/>
  <c r="AF4933" i="2"/>
  <c r="AK4933" i="2" s="1"/>
  <c r="AL4933" i="2" s="1"/>
  <c r="AG4933" i="2"/>
  <c r="AH4933" i="2"/>
  <c r="AI4933" i="2"/>
  <c r="AJ4933" i="2"/>
  <c r="AF4934" i="2"/>
  <c r="AK4934" i="2"/>
  <c r="AG4934" i="2"/>
  <c r="AL4934" i="2" s="1"/>
  <c r="AH4934" i="2"/>
  <c r="AI4934" i="2"/>
  <c r="AJ4934" i="2"/>
  <c r="AF4935" i="2"/>
  <c r="AK4935" i="2"/>
  <c r="AG4935" i="2"/>
  <c r="AH4935" i="2"/>
  <c r="AI4935" i="2"/>
  <c r="AJ4935" i="2"/>
  <c r="AF4936" i="2"/>
  <c r="AK4936" i="2" s="1"/>
  <c r="AG4936" i="2"/>
  <c r="AH4936" i="2"/>
  <c r="AI4936" i="2"/>
  <c r="AL4936" i="2" s="1"/>
  <c r="AJ4936" i="2"/>
  <c r="AF4937" i="2"/>
  <c r="AK4937" i="2"/>
  <c r="AG4937" i="2"/>
  <c r="AH4937" i="2"/>
  <c r="AI4937" i="2"/>
  <c r="AJ4937" i="2"/>
  <c r="AF4938" i="2"/>
  <c r="AK4938" i="2" s="1"/>
  <c r="AG4938" i="2"/>
  <c r="AH4938" i="2"/>
  <c r="AI4938" i="2"/>
  <c r="AJ4938" i="2"/>
  <c r="AF4939" i="2"/>
  <c r="AK4939" i="2"/>
  <c r="AG4939" i="2"/>
  <c r="AH4939" i="2"/>
  <c r="AI4939" i="2"/>
  <c r="AJ4939" i="2"/>
  <c r="AF4940" i="2"/>
  <c r="AK4940" i="2" s="1"/>
  <c r="AG4940" i="2"/>
  <c r="AH4940" i="2"/>
  <c r="AI4940" i="2"/>
  <c r="AJ4940" i="2"/>
  <c r="AF4941" i="2"/>
  <c r="AK4941" i="2" s="1"/>
  <c r="AG4941" i="2"/>
  <c r="AL4941" i="2" s="1"/>
  <c r="AH4941" i="2"/>
  <c r="AI4941" i="2"/>
  <c r="AJ4941" i="2"/>
  <c r="AF4942" i="2"/>
  <c r="AK4942" i="2" s="1"/>
  <c r="AL4942" i="2" s="1"/>
  <c r="AG4942" i="2"/>
  <c r="AH4942" i="2"/>
  <c r="AI4942" i="2"/>
  <c r="AJ4942" i="2"/>
  <c r="AF4943" i="2"/>
  <c r="AK4943" i="2" s="1"/>
  <c r="AL4943" i="2" s="1"/>
  <c r="AG4943" i="2"/>
  <c r="AH4943" i="2"/>
  <c r="AI4943" i="2"/>
  <c r="AJ4943" i="2"/>
  <c r="AF4944" i="2"/>
  <c r="AK4944" i="2"/>
  <c r="AG4944" i="2"/>
  <c r="AL4944" i="2" s="1"/>
  <c r="AH4944" i="2"/>
  <c r="AI4944" i="2"/>
  <c r="AJ4944" i="2"/>
  <c r="AF4945" i="2"/>
  <c r="AK4945" i="2" s="1"/>
  <c r="AL4945" i="2" s="1"/>
  <c r="AG4945" i="2"/>
  <c r="AH4945" i="2"/>
  <c r="AI4945" i="2"/>
  <c r="AJ4945" i="2"/>
  <c r="AF4946" i="2"/>
  <c r="AK4946" i="2"/>
  <c r="AL4946" i="2" s="1"/>
  <c r="AG4946" i="2"/>
  <c r="AH4946" i="2"/>
  <c r="AI4946" i="2"/>
  <c r="AJ4946" i="2"/>
  <c r="AF4947" i="2"/>
  <c r="AK4947" i="2"/>
  <c r="AG4947" i="2"/>
  <c r="AL4947" i="2" s="1"/>
  <c r="AH4947" i="2"/>
  <c r="AI4947" i="2"/>
  <c r="AJ4947" i="2"/>
  <c r="AF4948" i="2"/>
  <c r="AK4948" i="2"/>
  <c r="AG4948" i="2"/>
  <c r="AH4948" i="2"/>
  <c r="AI4948" i="2"/>
  <c r="AJ4948" i="2"/>
  <c r="AF4949" i="2"/>
  <c r="AK4949" i="2" s="1"/>
  <c r="AG4949" i="2"/>
  <c r="AH4949" i="2"/>
  <c r="AI4949" i="2"/>
  <c r="AJ4949" i="2"/>
  <c r="AF4950" i="2"/>
  <c r="AK4950" i="2"/>
  <c r="AG4950" i="2"/>
  <c r="AH4950" i="2"/>
  <c r="AI4950" i="2"/>
  <c r="AJ4950" i="2"/>
  <c r="AL4950" i="2" s="1"/>
  <c r="AF4951" i="2"/>
  <c r="AK4951" i="2" s="1"/>
  <c r="AG4951" i="2"/>
  <c r="AH4951" i="2"/>
  <c r="AL4951" i="2" s="1"/>
  <c r="AI4951" i="2"/>
  <c r="AJ4951" i="2"/>
  <c r="AF4952" i="2"/>
  <c r="AG4952" i="2"/>
  <c r="AH4952" i="2"/>
  <c r="AI4952" i="2"/>
  <c r="AJ4952" i="2"/>
  <c r="AK4952" i="2"/>
  <c r="AF4953" i="2"/>
  <c r="AK4953" i="2" s="1"/>
  <c r="AG4953" i="2"/>
  <c r="AH4953" i="2"/>
  <c r="AL4953" i="2" s="1"/>
  <c r="AI4953" i="2"/>
  <c r="AJ4953" i="2"/>
  <c r="AF4954" i="2"/>
  <c r="AK4954" i="2" s="1"/>
  <c r="AG4954" i="2"/>
  <c r="AH4954" i="2"/>
  <c r="AI4954" i="2"/>
  <c r="AJ4954" i="2"/>
  <c r="AF4955" i="2"/>
  <c r="AK4955" i="2" s="1"/>
  <c r="AG4955" i="2"/>
  <c r="AL4955" i="2" s="1"/>
  <c r="AH4955" i="2"/>
  <c r="AI4955" i="2"/>
  <c r="AJ4955" i="2"/>
  <c r="AF4956" i="2"/>
  <c r="AK4956" i="2"/>
  <c r="AG4956" i="2"/>
  <c r="AH4956" i="2"/>
  <c r="AI4956" i="2"/>
  <c r="AJ4956" i="2"/>
  <c r="AF4957" i="2"/>
  <c r="AK4957" i="2" s="1"/>
  <c r="AL4957" i="2" s="1"/>
  <c r="AG4957" i="2"/>
  <c r="AH4957" i="2"/>
  <c r="AI4957" i="2"/>
  <c r="AJ4957" i="2"/>
  <c r="AF4958" i="2"/>
  <c r="AK4958" i="2" s="1"/>
  <c r="AL4958" i="2" s="1"/>
  <c r="AG4958" i="2"/>
  <c r="AH4958" i="2"/>
  <c r="AI4958" i="2"/>
  <c r="AJ4958" i="2"/>
  <c r="AF4959" i="2"/>
  <c r="AK4959" i="2"/>
  <c r="AG4959" i="2"/>
  <c r="AL4959" i="2" s="1"/>
  <c r="AH4959" i="2"/>
  <c r="AI4959" i="2"/>
  <c r="AJ4959" i="2"/>
  <c r="AF4960" i="2"/>
  <c r="AK4960" i="2" s="1"/>
  <c r="AL4960" i="2" s="1"/>
  <c r="AG4960" i="2"/>
  <c r="AH4960" i="2"/>
  <c r="AI4960" i="2"/>
  <c r="AJ4960" i="2"/>
  <c r="AF4961" i="2"/>
  <c r="AK4961" i="2"/>
  <c r="AG4961" i="2"/>
  <c r="AL4961" i="2" s="1"/>
  <c r="AH4961" i="2"/>
  <c r="AI4961" i="2"/>
  <c r="AJ4961" i="2"/>
  <c r="AF4962" i="2"/>
  <c r="AK4962" i="2" s="1"/>
  <c r="AG4962" i="2"/>
  <c r="AH4962" i="2"/>
  <c r="AI4962" i="2"/>
  <c r="AJ4962" i="2"/>
  <c r="AF4963" i="2"/>
  <c r="AK4963" i="2"/>
  <c r="AL4963" i="2" s="1"/>
  <c r="AG4963" i="2"/>
  <c r="AH4963" i="2"/>
  <c r="AI4963" i="2"/>
  <c r="AJ4963" i="2"/>
  <c r="AF4964" i="2"/>
  <c r="AK4964" i="2"/>
  <c r="AG4964" i="2"/>
  <c r="AH4964" i="2"/>
  <c r="AI4964" i="2"/>
  <c r="AJ4964" i="2"/>
  <c r="AL4964" i="2" s="1"/>
  <c r="AF4965" i="2"/>
  <c r="AK4965" i="2" s="1"/>
  <c r="AL4965" i="2" s="1"/>
  <c r="AG4965" i="2"/>
  <c r="AH4965" i="2"/>
  <c r="AI4965" i="2"/>
  <c r="AJ4965" i="2"/>
  <c r="AF4966" i="2"/>
  <c r="AK4966" i="2" s="1"/>
  <c r="AG4966" i="2"/>
  <c r="AH4966" i="2"/>
  <c r="AI4966" i="2"/>
  <c r="AJ4966" i="2"/>
  <c r="AL4966" i="2" s="1"/>
  <c r="AF4967" i="2"/>
  <c r="AK4967" i="2"/>
  <c r="AG4967" i="2"/>
  <c r="AL4967" i="2" s="1"/>
  <c r="AH4967" i="2"/>
  <c r="AI4967" i="2"/>
  <c r="AJ4967" i="2"/>
  <c r="AF4968" i="2"/>
  <c r="AK4968" i="2" s="1"/>
  <c r="AG4968" i="2"/>
  <c r="AH4968" i="2"/>
  <c r="AL4968" i="2" s="1"/>
  <c r="AI4968" i="2"/>
  <c r="AJ4968" i="2"/>
  <c r="AF4969" i="2"/>
  <c r="AK4969" i="2"/>
  <c r="AG4969" i="2"/>
  <c r="AH4969" i="2"/>
  <c r="AI4969" i="2"/>
  <c r="AJ4969" i="2"/>
  <c r="AF4970" i="2"/>
  <c r="AK4970" i="2" s="1"/>
  <c r="AL4970" i="2" s="1"/>
  <c r="AG4970" i="2"/>
  <c r="AH4970" i="2"/>
  <c r="AI4970" i="2"/>
  <c r="AJ4970" i="2"/>
  <c r="AF4971" i="2"/>
  <c r="AK4971" i="2" s="1"/>
  <c r="AG4971" i="2"/>
  <c r="AL4971" i="2" s="1"/>
  <c r="AH4971" i="2"/>
  <c r="AI4971" i="2"/>
  <c r="AJ4971" i="2"/>
  <c r="AF4972" i="2"/>
  <c r="AK4972" i="2"/>
  <c r="AG4972" i="2"/>
  <c r="AL4972" i="2" s="1"/>
  <c r="AH4972" i="2"/>
  <c r="AI4972" i="2"/>
  <c r="AJ4972" i="2"/>
  <c r="AF4973" i="2"/>
  <c r="AK4973" i="2"/>
  <c r="AG4973" i="2"/>
  <c r="AH4973" i="2"/>
  <c r="AI4973" i="2"/>
  <c r="AJ4973" i="2"/>
  <c r="AF4974" i="2"/>
  <c r="AK4974" i="2" s="1"/>
  <c r="AL4974" i="2" s="1"/>
  <c r="AG4974" i="2"/>
  <c r="AH4974" i="2"/>
  <c r="AI4974" i="2"/>
  <c r="AJ4974" i="2"/>
  <c r="AF4975" i="2"/>
  <c r="AK4975" i="2"/>
  <c r="AG4975" i="2"/>
  <c r="AL4975" i="2" s="1"/>
  <c r="AH4975" i="2"/>
  <c r="AI4975" i="2"/>
  <c r="AJ4975" i="2"/>
  <c r="AF4976" i="2"/>
  <c r="AK4976" i="2"/>
  <c r="AG4976" i="2"/>
  <c r="AH4976" i="2"/>
  <c r="AI4976" i="2"/>
  <c r="AJ4976" i="2"/>
  <c r="AF4977" i="2"/>
  <c r="AK4977" i="2" s="1"/>
  <c r="AG4977" i="2"/>
  <c r="AH4977" i="2"/>
  <c r="AI4977" i="2"/>
  <c r="AJ4977" i="2"/>
  <c r="AF4978" i="2"/>
  <c r="AK4978" i="2" s="1"/>
  <c r="AG4978" i="2"/>
  <c r="AH4978" i="2"/>
  <c r="AL4978" i="2" s="1"/>
  <c r="AI4978" i="2"/>
  <c r="AJ4978" i="2"/>
  <c r="AF4979" i="2"/>
  <c r="AK4979" i="2" s="1"/>
  <c r="AG4979" i="2"/>
  <c r="AH4979" i="2"/>
  <c r="AI4979" i="2"/>
  <c r="AJ4979" i="2"/>
  <c r="AF4980" i="2"/>
  <c r="AK4980" i="2"/>
  <c r="AG4980" i="2"/>
  <c r="AH4980" i="2"/>
  <c r="AI4980" i="2"/>
  <c r="AJ4980" i="2"/>
  <c r="AF4981" i="2"/>
  <c r="AK4981" i="2" s="1"/>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s="1"/>
  <c r="AH4984" i="2"/>
  <c r="AI4984" i="2"/>
  <c r="AJ4984" i="2"/>
  <c r="AF4985" i="2"/>
  <c r="AK4985" i="2" s="1"/>
  <c r="AL4985" i="2" s="1"/>
  <c r="AG4985" i="2"/>
  <c r="AH4985" i="2"/>
  <c r="AI4985" i="2"/>
  <c r="AJ4985" i="2"/>
  <c r="AF4986" i="2"/>
  <c r="AK4986" i="2"/>
  <c r="AG4986" i="2"/>
  <c r="AH4986" i="2"/>
  <c r="AI4986" i="2"/>
  <c r="AJ4986" i="2"/>
  <c r="AL4986" i="2" s="1"/>
  <c r="AF4987" i="2"/>
  <c r="AK4987" i="2"/>
  <c r="AG4987" i="2"/>
  <c r="AH4987" i="2"/>
  <c r="AI4987" i="2"/>
  <c r="AJ4987" i="2"/>
  <c r="AL4987" i="2"/>
  <c r="AF4988" i="2"/>
  <c r="AK4988" i="2" s="1"/>
  <c r="AL4988" i="2" s="1"/>
  <c r="AG4988" i="2"/>
  <c r="AH4988" i="2"/>
  <c r="AI4988" i="2"/>
  <c r="AJ4988" i="2"/>
  <c r="AF4989" i="2"/>
  <c r="AK4989" i="2"/>
  <c r="AG4989" i="2"/>
  <c r="AH4989" i="2"/>
  <c r="AI4989" i="2"/>
  <c r="AJ4989" i="2"/>
  <c r="AF4990" i="2"/>
  <c r="AK4990" i="2" s="1"/>
  <c r="AG4990" i="2"/>
  <c r="AH4990" i="2"/>
  <c r="AI4990" i="2"/>
  <c r="AJ4990" i="2"/>
  <c r="AF4991" i="2"/>
  <c r="AK4991" i="2" s="1"/>
  <c r="AG4991" i="2"/>
  <c r="AL4991" i="2" s="1"/>
  <c r="AH4991" i="2"/>
  <c r="AI4991" i="2"/>
  <c r="AJ4991" i="2"/>
  <c r="AF4992" i="2"/>
  <c r="AK4992" i="2"/>
  <c r="AL4992" i="2" s="1"/>
  <c r="AG4992" i="2"/>
  <c r="AH4992" i="2"/>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L4995" i="2" s="1"/>
  <c r="AJ4995" i="2"/>
  <c r="AF4996" i="2"/>
  <c r="AK4996" i="2"/>
  <c r="AG4996" i="2"/>
  <c r="AL4996" i="2" s="1"/>
  <c r="AH4996" i="2"/>
  <c r="AI4996" i="2"/>
  <c r="AJ4996" i="2"/>
  <c r="AF4997" i="2"/>
  <c r="AK4997" i="2" s="1"/>
  <c r="AG4997" i="2"/>
  <c r="AH4997" i="2"/>
  <c r="AL4997" i="2" s="1"/>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31" i="2"/>
  <c r="AL5035" i="2"/>
  <c r="AL5039" i="2"/>
  <c r="AL5043" i="2"/>
  <c r="AL5047" i="2"/>
  <c r="AL5051" i="2"/>
  <c r="AL5063" i="2"/>
  <c r="AL5067" i="2"/>
  <c r="AL5071" i="2"/>
  <c r="AL5075" i="2"/>
  <c r="AL5079" i="2"/>
  <c r="AL5083" i="2"/>
  <c r="AL5087" i="2"/>
  <c r="AL5091" i="2"/>
  <c r="AL5095" i="2"/>
  <c r="AL5099" i="2"/>
  <c r="AL5103" i="2"/>
  <c r="AL5107" i="2"/>
  <c r="AL5228" i="2"/>
  <c r="AL5240" i="2"/>
  <c r="AL5244" i="2"/>
  <c r="AL5248" i="2"/>
  <c r="AL5252" i="2"/>
  <c r="AL5264" i="2"/>
  <c r="AL5268" i="2"/>
  <c r="AL5272" i="2"/>
  <c r="AL5276"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8" i="2"/>
  <c r="AL5242" i="2"/>
  <c r="AL5246" i="2"/>
  <c r="AL5250" i="2"/>
  <c r="AL5254" i="2"/>
  <c r="AL5262" i="2"/>
  <c r="AL5266" i="2"/>
  <c r="AL5270" i="2"/>
  <c r="AL5274" i="2"/>
  <c r="AL5278"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696" i="2"/>
  <c r="AL3664" i="2"/>
  <c r="AL3651" i="2"/>
  <c r="AL3632" i="2"/>
  <c r="AL3600" i="2"/>
  <c r="AL3587" i="2"/>
  <c r="AL3568" i="2"/>
  <c r="AL3536" i="2"/>
  <c r="AL3512" i="2"/>
  <c r="AL3459" i="2"/>
  <c r="AL3448" i="2"/>
  <c r="AL3395" i="2"/>
  <c r="AL3384" i="2"/>
  <c r="AL3331" i="2"/>
  <c r="AL3267" i="2"/>
  <c r="AL3256" i="2"/>
  <c r="AL3203" i="2"/>
  <c r="AL3192" i="2"/>
  <c r="AL69" i="2"/>
  <c r="AL3671" i="2"/>
  <c r="AL3639" i="2"/>
  <c r="AL3607" i="2"/>
  <c r="AL3575" i="2"/>
  <c r="AL3543" i="2"/>
  <c r="AL3495" i="2"/>
  <c r="AL3483" i="2"/>
  <c r="AL3472" i="2"/>
  <c r="AL3419" i="2"/>
  <c r="AL3408" i="2"/>
  <c r="AL3402" i="2"/>
  <c r="AL3367" i="2"/>
  <c r="AL3338" i="2"/>
  <c r="AL3303" i="2"/>
  <c r="AL3291" i="2"/>
  <c r="AL3274" i="2"/>
  <c r="AL3239" i="2"/>
  <c r="AL3227" i="2"/>
  <c r="AL3216"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35" i="2"/>
  <c r="AL3323" i="2"/>
  <c r="AL3271" i="2"/>
  <c r="AL3259" i="2"/>
  <c r="AL3248" i="2"/>
  <c r="AL3242" i="2"/>
  <c r="AL3207" i="2"/>
  <c r="AL3195" i="2"/>
  <c r="AL3184"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58" i="2"/>
  <c r="AL3423" i="2"/>
  <c r="AL3411" i="2"/>
  <c r="AL3394" i="2"/>
  <c r="AL3359" i="2"/>
  <c r="AL3347" i="2"/>
  <c r="AL3295" i="2"/>
  <c r="AL3283" i="2"/>
  <c r="AL3266" i="2"/>
  <c r="AL3231" i="2"/>
  <c r="AL3219"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25" i="2"/>
  <c r="AL3417" i="2"/>
  <c r="AL3409" i="2"/>
  <c r="AL3401" i="2"/>
  <c r="AL3393" i="2"/>
  <c r="AL3369" i="2"/>
  <c r="AL3361" i="2"/>
  <c r="AL3345" i="2"/>
  <c r="AL3337" i="2"/>
  <c r="AL3329" i="2"/>
  <c r="AL3313"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29" i="2"/>
  <c r="AL2721" i="2"/>
  <c r="AL2713" i="2"/>
  <c r="AL2697" i="2"/>
  <c r="AL2681"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32" i="2"/>
  <c r="AL2724" i="2"/>
  <c r="AL2716" i="2"/>
  <c r="AL2708" i="2"/>
  <c r="AL2700" i="2"/>
  <c r="AL2692" i="2"/>
  <c r="AL2684" i="2"/>
  <c r="AL2676" i="2"/>
  <c r="AL2660" i="2"/>
  <c r="AL2652" i="2"/>
  <c r="AL2644"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29" i="2"/>
  <c r="AL3421" i="2"/>
  <c r="AL3413" i="2"/>
  <c r="AL3405" i="2"/>
  <c r="AL3397" i="2"/>
  <c r="AL3389" i="2"/>
  <c r="AL3381" i="2"/>
  <c r="AL3373" i="2"/>
  <c r="AL3365" i="2"/>
  <c r="AL3357" i="2"/>
  <c r="AL3349" i="2"/>
  <c r="AL3341" i="2"/>
  <c r="AL3325" i="2"/>
  <c r="AL3293" i="2"/>
  <c r="AL3277" i="2"/>
  <c r="AL3269" i="2"/>
  <c r="AL3261" i="2"/>
  <c r="AL3245" i="2"/>
  <c r="AL3237" i="2"/>
  <c r="AL3229" i="2"/>
  <c r="AL3213" i="2"/>
  <c r="AL3205" i="2"/>
  <c r="AL3197" i="2"/>
  <c r="AL3181" i="2"/>
  <c r="AL3173" i="2"/>
  <c r="AL3157" i="2"/>
  <c r="AL3149"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13" i="2"/>
  <c r="AL2805" i="2"/>
  <c r="AL2797" i="2"/>
  <c r="AL2789" i="2"/>
  <c r="AL2781" i="2"/>
  <c r="AL2773" i="2"/>
  <c r="AL2765" i="2"/>
  <c r="AL2757" i="2"/>
  <c r="AL2749" i="2"/>
  <c r="AL2741" i="2"/>
  <c r="AL2733" i="2"/>
  <c r="AL2725" i="2"/>
  <c r="AL2717" i="2"/>
  <c r="AL2709" i="2"/>
  <c r="AL2701" i="2"/>
  <c r="AL2693" i="2"/>
  <c r="AL2685" i="2"/>
  <c r="AL2677" i="2"/>
  <c r="AL2669"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0" i="2"/>
  <c r="AL3502" i="2"/>
  <c r="AL3486" i="2"/>
  <c r="AL3470" i="2"/>
  <c r="AL3454" i="2"/>
  <c r="AL3446" i="2"/>
  <c r="AL3438" i="2"/>
  <c r="AL3422" i="2"/>
  <c r="AL3406" i="2"/>
  <c r="AL3398" i="2"/>
  <c r="AL3390" i="2"/>
  <c r="AL3374" i="2"/>
  <c r="AL3358" i="2"/>
  <c r="AL3350" i="2"/>
  <c r="AL3342" i="2"/>
  <c r="AL3334" i="2"/>
  <c r="AL3326" i="2"/>
  <c r="AL3294" i="2"/>
  <c r="AL3278" i="2"/>
  <c r="AL3270" i="2"/>
  <c r="AL3262" i="2"/>
  <c r="AL3246" i="2"/>
  <c r="AL3238" i="2"/>
  <c r="AL3222" i="2"/>
  <c r="AL3206" i="2"/>
  <c r="AL3190" i="2"/>
  <c r="AL3182" i="2"/>
  <c r="AL3166" i="2"/>
  <c r="AL3142" i="2"/>
  <c r="AL3134" i="2"/>
  <c r="AL3126" i="2"/>
  <c r="AL3118" i="2"/>
  <c r="AL3110" i="2"/>
  <c r="AL3102" i="2"/>
  <c r="AL3094" i="2"/>
  <c r="AL3086" i="2"/>
  <c r="AL3078" i="2"/>
  <c r="AL3070" i="2"/>
  <c r="AL3062" i="2"/>
  <c r="AL3054" i="2"/>
  <c r="AL3046" i="2"/>
  <c r="AL3038" i="2"/>
  <c r="AL3030" i="2"/>
  <c r="AL3022"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394" i="2"/>
  <c r="AL2386" i="2"/>
  <c r="AL2374" i="2"/>
  <c r="AL2369" i="2"/>
  <c r="AL2363" i="2"/>
  <c r="AL2358" i="2"/>
  <c r="AL2347" i="2"/>
  <c r="AL2342" i="2"/>
  <c r="AL2337" i="2"/>
  <c r="AL2331" i="2"/>
  <c r="AL2326" i="2"/>
  <c r="AL2321" i="2"/>
  <c r="AL2315" i="2"/>
  <c r="AL2310" i="2"/>
  <c r="AL2305" i="2"/>
  <c r="AL2299" i="2"/>
  <c r="AL2294" i="2"/>
  <c r="AL2289" i="2"/>
  <c r="AL2283" i="2"/>
  <c r="AL2278" i="2"/>
  <c r="AL2267"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5" i="2"/>
  <c r="AL111" i="2"/>
  <c r="AL107" i="2"/>
  <c r="AL103" i="2"/>
  <c r="AL99"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17" i="2"/>
  <c r="AL113" i="2"/>
  <c r="AL109" i="2"/>
  <c r="AL105" i="2"/>
  <c r="AL101" i="2"/>
  <c r="AL93" i="2"/>
  <c r="AL83" i="2"/>
  <c r="AL158" i="2"/>
  <c r="AL154" i="2"/>
  <c r="AL150" i="2"/>
  <c r="AL146" i="2"/>
  <c r="AL142" i="2"/>
  <c r="AL138" i="2"/>
  <c r="AL134" i="2"/>
  <c r="AL130" i="2"/>
  <c r="AL126" i="2"/>
  <c r="AL122" i="2"/>
  <c r="AL118" i="2"/>
  <c r="AL114" i="2"/>
  <c r="AL110" i="2"/>
  <c r="AL106" i="2"/>
  <c r="AL102" i="2"/>
  <c r="AL98" i="2"/>
  <c r="AL94" i="2"/>
  <c r="AL74" i="2"/>
  <c r="AL86" i="2"/>
  <c r="AL78" i="2"/>
  <c r="AL70" i="2"/>
  <c r="AL87" i="2"/>
  <c r="AL79" i="2"/>
  <c r="AL89" i="2"/>
  <c r="AL81" i="2"/>
  <c r="AL75" i="2"/>
  <c r="AL67" i="2"/>
  <c r="AL4796" i="2"/>
  <c r="AL4551" i="2"/>
  <c r="AL4575" i="2"/>
  <c r="AL4512" i="2"/>
  <c r="AL4563" i="2"/>
  <c r="AL4541" i="2"/>
  <c r="AL4509" i="2"/>
  <c r="AL4665" i="2"/>
  <c r="AL4553" i="2"/>
  <c r="AL4268" i="2"/>
  <c r="AL4200" i="2"/>
  <c r="AL4136" i="2"/>
  <c r="AL4092" i="2"/>
  <c r="AL4085" i="2"/>
  <c r="AL4062" i="2"/>
  <c r="AL4395" i="2"/>
  <c r="AL4337" i="2"/>
  <c r="AL4368" i="2"/>
  <c r="AL4341" i="2"/>
  <c r="AL4308" i="2"/>
  <c r="AL4263" i="2"/>
  <c r="AL4239" i="2"/>
  <c r="AL4235" i="2"/>
  <c r="AL4197" i="2"/>
  <c r="AL4175" i="2"/>
  <c r="AL4140" i="2"/>
  <c r="AL4133" i="2"/>
  <c r="AL4120" i="2"/>
  <c r="AL4107" i="2"/>
  <c r="AL4076" i="2"/>
  <c r="AL4069" i="2"/>
  <c r="AL4064" i="2"/>
  <c r="AL4059" i="2"/>
  <c r="AL4032" i="2"/>
  <c r="AL4027" i="2"/>
  <c r="AL4012" i="2"/>
  <c r="AL3996" i="2"/>
  <c r="AL3980" i="2"/>
  <c r="AL4339" i="2"/>
  <c r="AL4312" i="2"/>
  <c r="AL4201" i="2"/>
  <c r="AL4144" i="2"/>
  <c r="AL4137" i="2"/>
  <c r="AL4080" i="2"/>
  <c r="AL4067" i="2"/>
  <c r="AL4060" i="2"/>
  <c r="AL4049" i="2"/>
  <c r="AL4028" i="2"/>
  <c r="AL4392" i="2"/>
  <c r="AL4357" i="2"/>
  <c r="AL4316" i="2"/>
  <c r="AL4305" i="2"/>
  <c r="AL4284" i="2"/>
  <c r="AL4273" i="2"/>
  <c r="AL4245" i="2"/>
  <c r="AL4223" i="2"/>
  <c r="AL4188" i="2"/>
  <c r="AL4181" i="2"/>
  <c r="AL4159" i="2"/>
  <c r="AL4124" i="2"/>
  <c r="AL4104" i="2"/>
  <c r="AL4095" i="2"/>
  <c r="AL4016" i="2"/>
  <c r="AL4000" i="2"/>
  <c r="AL3984" i="2"/>
  <c r="AL3968" i="2"/>
  <c r="AL4369" i="2"/>
  <c r="AL4247" i="2"/>
  <c r="AL4243" i="2"/>
  <c r="AL4185" i="2"/>
  <c r="AL4183" i="2"/>
  <c r="AL4179" i="2"/>
  <c r="AL4121" i="2"/>
  <c r="AL4119" i="2"/>
  <c r="AL4115" i="2"/>
  <c r="AL4040" i="2"/>
  <c r="AL4469" i="2"/>
  <c r="AL4401" i="2"/>
  <c r="AL4363" i="2"/>
  <c r="AL4313" i="2"/>
  <c r="AL4307" i="2"/>
  <c r="AL4281" i="2"/>
  <c r="AL4279" i="2"/>
  <c r="AL4275" i="2"/>
  <c r="AL4229" i="2"/>
  <c r="AL4216" i="2"/>
  <c r="AL4209" i="2"/>
  <c r="AL4207" i="2"/>
  <c r="AL4203"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5005" i="2"/>
  <c r="AL5049" i="2"/>
  <c r="AL5066" i="2"/>
  <c r="AL5132" i="2"/>
  <c r="AL5158" i="2"/>
  <c r="AL5190" i="2"/>
  <c r="AL4872" i="2"/>
  <c r="AL4759" i="2"/>
  <c r="AL4434" i="2"/>
  <c r="AL4829" i="2"/>
  <c r="AL4818" i="2"/>
  <c r="AL4393" i="2"/>
  <c r="AL4272" i="2"/>
  <c r="AL4215" i="2"/>
  <c r="AL4169" i="2"/>
  <c r="AL4157" i="2"/>
  <c r="AL4109" i="2"/>
  <c r="AL4086" i="2"/>
  <c r="AL4051" i="2"/>
  <c r="AL3935" i="2"/>
  <c r="AL3897" i="2"/>
  <c r="AL3803" i="2"/>
  <c r="AL3776" i="2"/>
  <c r="AL4221" i="2"/>
  <c r="AL4135" i="2"/>
  <c r="AL3862" i="2"/>
  <c r="AL4126" i="2"/>
  <c r="AL4335" i="2"/>
  <c r="AL4326" i="2"/>
  <c r="AL4658" i="2"/>
  <c r="AL4226" i="2"/>
  <c r="AL4219" i="2"/>
  <c r="AL4193" i="2"/>
  <c r="AL4158" i="2"/>
  <c r="AL4130" i="2"/>
  <c r="AL3812" i="2"/>
  <c r="AL3777" i="2"/>
  <c r="AL4378" i="2"/>
  <c r="AL4314" i="2"/>
  <c r="AL4310" i="2"/>
  <c r="AL4266" i="2"/>
  <c r="AL4118" i="2"/>
  <c r="AL4077" i="2"/>
  <c r="AL3973" i="2"/>
  <c r="AL4282"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5243" i="2"/>
  <c r="AL173" i="2"/>
  <c r="AL5018" i="2"/>
  <c r="AL5021" i="2"/>
  <c r="AL5223" i="2"/>
  <c r="AL4324" i="2"/>
  <c r="AL4278" i="2"/>
  <c r="AL4225" i="2"/>
  <c r="AL4141" i="2"/>
  <c r="AL4900" i="2"/>
  <c r="AL4816" i="2"/>
  <c r="AL4813" i="2"/>
  <c r="AL4599" i="2"/>
  <c r="AL4433" i="2"/>
  <c r="AL4303" i="2"/>
  <c r="AL3843" i="2"/>
  <c r="AL4528" i="2"/>
  <c r="AL4501" i="2"/>
  <c r="AL4493" i="2"/>
  <c r="AL4738" i="2"/>
  <c r="AL4734" i="2"/>
  <c r="AL4581" i="2"/>
  <c r="AL4478" i="2"/>
  <c r="AL4454" i="2"/>
  <c r="AL4345" i="2"/>
  <c r="AL4007" i="2"/>
  <c r="AL3986" i="2"/>
  <c r="AL4798" i="2"/>
  <c r="AL4736" i="2"/>
  <c r="AL4684" i="2"/>
  <c r="AL4571" i="2"/>
  <c r="AL4549" i="2"/>
  <c r="AL4365" i="2"/>
  <c r="AL4330" i="2"/>
  <c r="AL4166" i="2"/>
  <c r="AL4142" i="2"/>
  <c r="AL3824" i="2"/>
  <c r="AL3659" i="2"/>
  <c r="AL4386" i="2"/>
  <c r="AL4359" i="2"/>
  <c r="AL4241" i="2"/>
  <c r="AL4238" i="2"/>
  <c r="AL4094" i="2"/>
  <c r="AL4017" i="2"/>
  <c r="AL3855" i="2"/>
  <c r="AL3808" i="2"/>
  <c r="AL4428" i="2"/>
  <c r="AL4029" i="2"/>
  <c r="AL3887" i="2"/>
  <c r="AL3736" i="2"/>
  <c r="AL4343" i="2"/>
  <c r="AL4261" i="2"/>
  <c r="AL4091" i="2"/>
  <c r="AL4033" i="2"/>
  <c r="AL3991" i="2"/>
  <c r="AL3904" i="2"/>
  <c r="AL3869" i="2"/>
  <c r="AL4202" i="2"/>
  <c r="AL4106" i="2"/>
  <c r="AL3944" i="2"/>
  <c r="AL4410" i="2"/>
  <c r="AL4348" i="2"/>
  <c r="AL4344" i="2"/>
  <c r="AL4317" i="2"/>
  <c r="AL4206" i="2"/>
  <c r="AL4189" i="2"/>
  <c r="AL4150" i="2"/>
  <c r="AL4127" i="2"/>
  <c r="AL4003" i="2"/>
  <c r="AL3967" i="2"/>
  <c r="AL3934" i="2"/>
  <c r="AL3918" i="2"/>
  <c r="AL4191" i="2"/>
  <c r="AL4187" i="2"/>
  <c r="AL4164" i="2"/>
  <c r="AL4160" i="2"/>
  <c r="AL4128" i="2"/>
  <c r="AL4061" i="2"/>
  <c r="AL4025" i="2"/>
  <c r="AL3919" i="2"/>
  <c r="AL3874" i="2"/>
  <c r="AL3831" i="2"/>
  <c r="AL3811" i="2"/>
  <c r="AL3779" i="2"/>
  <c r="AL3772" i="2"/>
  <c r="AL3765" i="2"/>
  <c r="AL3747" i="2"/>
  <c r="AL3711" i="2"/>
  <c r="AL3488" i="2"/>
  <c r="AL3322" i="2"/>
  <c r="AL4180" i="2"/>
  <c r="AL4148" i="2"/>
  <c r="AL4113" i="2"/>
  <c r="AL4047" i="2"/>
  <c r="AL4011" i="2"/>
  <c r="AL3995" i="2"/>
  <c r="AL3891" i="2"/>
  <c r="AL3879" i="2"/>
  <c r="AL3866" i="2"/>
  <c r="AL3806" i="2"/>
  <c r="AL3795" i="2"/>
  <c r="AL3783" i="2"/>
  <c r="AL3750" i="2"/>
  <c r="AL3701" i="2"/>
  <c r="AL4285" i="2"/>
  <c r="AL4264" i="2"/>
  <c r="AL4173" i="2"/>
  <c r="AL4123"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86" i="2"/>
  <c r="AL4227"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034" i="2"/>
  <c r="AL5102" i="2"/>
  <c r="AL5134" i="2"/>
  <c r="AL5010" i="2"/>
  <c r="AL5033" i="2"/>
  <c r="AL5054" i="2"/>
  <c r="AL5062" i="2"/>
  <c r="AL5078" i="2"/>
  <c r="AL5126" i="2"/>
  <c r="AL5279" i="2"/>
  <c r="AL5263" i="2"/>
  <c r="AL4976" i="2"/>
  <c r="AL4663" i="2"/>
  <c r="AL4638" i="2"/>
  <c r="AL4609" i="2"/>
  <c r="AL4587" i="2"/>
  <c r="AL4520" i="2"/>
  <c r="AL4388" i="2"/>
  <c r="AL4396" i="2"/>
  <c r="AL4952" i="2"/>
  <c r="AL4807" i="2"/>
  <c r="AL4668" i="2"/>
  <c r="AL4591" i="2"/>
  <c r="AL4332" i="2"/>
  <c r="AL4518" i="2"/>
  <c r="AL4487" i="2"/>
  <c r="AL4334" i="2"/>
  <c r="AL4233" i="2"/>
  <c r="AL4670" i="2"/>
  <c r="AL4802" i="2"/>
  <c r="AL4516" i="2"/>
  <c r="AL4503" i="2"/>
  <c r="AL4346" i="2"/>
  <c r="AL4443" i="2"/>
  <c r="AL4253" i="2"/>
  <c r="AL4171" i="2"/>
  <c r="AL4154" i="2"/>
  <c r="AL4132" i="2"/>
  <c r="AL4093" i="2"/>
  <c r="AL3985" i="2"/>
  <c r="AL3975" i="2"/>
  <c r="AL3839" i="2"/>
  <c r="AL3802" i="2"/>
  <c r="AL3524" i="2"/>
  <c r="AL3478" i="2"/>
  <c r="AL3416" i="2"/>
  <c r="AL4177" i="2"/>
  <c r="AL4090" i="2"/>
  <c r="AL4055" i="2"/>
  <c r="AL3938" i="2"/>
  <c r="AL3886" i="2"/>
  <c r="AL4161" i="2"/>
  <c r="AL4073" i="2"/>
  <c r="AL4024" i="2"/>
  <c r="AL3952" i="2"/>
  <c r="AL3912" i="2"/>
  <c r="AL3833" i="2"/>
  <c r="AL3826" i="2"/>
  <c r="AL3715" i="2"/>
  <c r="AL3702" i="2"/>
  <c r="AL3640" i="2"/>
  <c r="AL3562" i="2"/>
  <c r="AL4441" i="2"/>
  <c r="AL4205" i="2"/>
  <c r="AL3997" i="2"/>
  <c r="AL3882" i="2"/>
  <c r="AL3876" i="2"/>
  <c r="AL3859" i="2"/>
  <c r="AL3791" i="2"/>
  <c r="AL3608" i="2"/>
  <c r="AL4384" i="2"/>
  <c r="AL4249" i="2"/>
  <c r="AL4237" i="2"/>
  <c r="AL4231" i="2"/>
  <c r="AL4103" i="2"/>
  <c r="AL4078" i="2"/>
  <c r="AL4008" i="2"/>
  <c r="AL3905" i="2"/>
  <c r="AL3870" i="2"/>
  <c r="AL3823" i="2"/>
  <c r="AL3794" i="2"/>
  <c r="AL4377" i="2"/>
  <c r="AL3564"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50" i="2"/>
  <c r="AL3218" i="2"/>
  <c r="AL3131" i="2"/>
  <c r="AL3111" i="2"/>
  <c r="AL3346" i="2"/>
  <c r="AL3101" i="2"/>
  <c r="AL2703" i="2"/>
  <c r="AL3112" i="2"/>
  <c r="AL2647" i="2"/>
  <c r="AL2501" i="2"/>
  <c r="AL2495" i="2"/>
  <c r="AL2218" i="2"/>
  <c r="AL2111"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649" i="2"/>
  <c r="AL4597" i="2"/>
  <c r="AL4704" i="2"/>
  <c r="AL4579" i="2"/>
  <c r="AL4973" i="2"/>
  <c r="AL4853" i="2"/>
  <c r="AL4892" i="2"/>
  <c r="AL4780" i="2"/>
  <c r="AL4545" i="2"/>
  <c r="AL4418" i="2"/>
  <c r="AL4298" i="2"/>
  <c r="AL4143" i="2"/>
  <c r="AL4083" i="2"/>
  <c r="AL4035" i="2"/>
  <c r="AL3999" i="2"/>
  <c r="AL3979" i="2"/>
  <c r="AL3969" i="2"/>
  <c r="AL3798" i="2"/>
  <c r="AL3744" i="2"/>
  <c r="AL3546" i="2"/>
  <c r="AL3523" i="2"/>
  <c r="AL4485" i="2"/>
  <c r="AL4366" i="2"/>
  <c r="AL4321" i="2"/>
  <c r="AL4167" i="2"/>
  <c r="AL4110" i="2"/>
  <c r="AL4096" i="2"/>
  <c r="AL4328" i="2"/>
  <c r="AL4217" i="2"/>
  <c r="AL4030" i="2"/>
  <c r="AL3880" i="2"/>
  <c r="AL3877" i="2"/>
  <c r="AL3787" i="2"/>
  <c r="AL3563" i="2"/>
  <c r="AL4399" i="2"/>
  <c r="AL4352" i="2"/>
  <c r="AL4134" i="2"/>
  <c r="AL4053" i="2"/>
  <c r="AL4037" i="2"/>
  <c r="AL3957"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3208" i="2"/>
  <c r="AL2948" i="2"/>
  <c r="AL2883" i="2"/>
  <c r="AL3533" i="2"/>
  <c r="AL3430" i="2"/>
  <c r="AL3209" i="2"/>
  <c r="AL3191" i="2"/>
  <c r="AL3129" i="2"/>
  <c r="AL3035" i="2"/>
  <c r="AL2549" i="2"/>
  <c r="AL2340" i="2"/>
  <c r="AL2581" i="2"/>
  <c r="AL2543" i="2"/>
  <c r="AL2365" i="2"/>
  <c r="AL2533" i="2"/>
  <c r="AL2461" i="2"/>
  <c r="AL2352" i="2"/>
  <c r="AL2453"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315" i="2"/>
  <c r="AL192" i="2"/>
  <c r="AL5098" i="2"/>
  <c r="AL5152" i="2"/>
  <c r="AL5247" i="2"/>
  <c r="AL4939" i="2"/>
  <c r="AL4778" i="2"/>
  <c r="AL4989" i="2"/>
  <c r="AL4856" i="2"/>
  <c r="AL4556" i="2"/>
  <c r="AL4515" i="2"/>
  <c r="AL4948" i="2"/>
  <c r="AL4903" i="2"/>
  <c r="AL4860" i="2"/>
  <c r="AL4772" i="2"/>
  <c r="AL4937" i="2"/>
  <c r="AL4913" i="2"/>
  <c r="AL4825" i="2"/>
  <c r="AL4766" i="2"/>
  <c r="AL4751" i="2"/>
  <c r="AL4506" i="2"/>
  <c r="AL4452" i="2"/>
  <c r="AL4969" i="2"/>
  <c r="AL4911" i="2"/>
  <c r="AL4980" i="2"/>
  <c r="AL4956" i="2"/>
  <c r="AL4548" i="2"/>
  <c r="AL4522" i="2"/>
  <c r="AL4935" i="2"/>
  <c r="AL4905" i="2"/>
  <c r="AL4879" i="2"/>
  <c r="AL4770" i="2"/>
  <c r="AL4689" i="2"/>
  <c r="AL4659" i="2"/>
  <c r="AL4645" i="2"/>
  <c r="AL4650" i="2"/>
  <c r="AL4554" i="2"/>
  <c r="AL4525" i="2"/>
  <c r="AL4498" i="2"/>
  <c r="AL4412" i="2"/>
  <c r="AL4394" i="2"/>
  <c r="AL4375" i="2"/>
  <c r="AL4632" i="2"/>
  <c r="AL4543" i="2"/>
  <c r="AL4370" i="2"/>
  <c r="AL4565" i="2"/>
  <c r="AL4500" i="2"/>
  <c r="AL4446" i="2"/>
  <c r="AL4382" i="2"/>
  <c r="AL4367" i="2"/>
  <c r="AL4362" i="2"/>
  <c r="AL4236" i="2"/>
  <c r="AL4125" i="2"/>
  <c r="AL4643" i="2"/>
  <c r="AL4442" i="2"/>
  <c r="AL4416" i="2"/>
  <c r="AL4413" i="2"/>
  <c r="AL4288" i="2"/>
  <c r="AL4566" i="2"/>
  <c r="AL4504" i="2"/>
  <c r="AL4240" i="2"/>
  <c r="AL4470" i="2"/>
  <c r="AL4100" i="2"/>
  <c r="AL4486" i="2"/>
  <c r="AL4479" i="2"/>
  <c r="AL4440" i="2"/>
  <c r="AL4414" i="2"/>
  <c r="AL4411" i="2"/>
  <c r="AL4302" i="2"/>
  <c r="AL4290" i="2"/>
  <c r="AL4210" i="2"/>
  <c r="AL4112" i="2"/>
  <c r="AL4246" i="2"/>
  <c r="AL4212" i="2"/>
  <c r="AL4079" i="2"/>
  <c r="AL4292" i="2"/>
  <c r="AL4276"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6" i="2" l="1"/>
  <c r="AM66" i="2" s="1"/>
  <c r="AL28" i="2"/>
  <c r="AL68" i="2"/>
  <c r="AM68" i="2" s="1"/>
  <c r="AL64" i="2"/>
  <c r="AM64" i="2" s="1"/>
  <c r="AL4949" i="2"/>
  <c r="AL4938" i="2"/>
  <c r="AL4871" i="2"/>
  <c r="AL4839" i="2"/>
  <c r="AL4819" i="2"/>
  <c r="AL4806" i="2"/>
  <c r="AL4940" i="2"/>
  <c r="AL4925" i="2"/>
  <c r="AL4850" i="2"/>
  <c r="AL4793" i="2"/>
  <c r="AL4910" i="2"/>
  <c r="AL4830" i="2"/>
  <c r="AL4775" i="2"/>
  <c r="AL4674" i="2"/>
  <c r="AL4671" i="2"/>
  <c r="AL4613" i="2"/>
  <c r="AL4521" i="2"/>
  <c r="AL4990" i="2"/>
  <c r="AL4962" i="2"/>
  <c r="AL4927" i="2"/>
  <c r="AL4914" i="2"/>
  <c r="AL4875" i="2"/>
  <c r="AL4768" i="2"/>
  <c r="AL4977" i="2"/>
  <c r="AL4909" i="2"/>
  <c r="AL4691" i="2"/>
  <c r="AL4979" i="2"/>
  <c r="AL4870" i="2"/>
  <c r="AL4838" i="2"/>
  <c r="AL4805" i="2"/>
  <c r="AL4711" i="2"/>
  <c r="AL4686" i="2"/>
  <c r="AL4682" i="2"/>
  <c r="AL4677" i="2"/>
  <c r="AL4644" i="2"/>
  <c r="AL4621" i="2"/>
  <c r="AL4998" i="2"/>
  <c r="AL4981" i="2"/>
  <c r="AL4904" i="2"/>
  <c r="AL4857" i="2"/>
  <c r="AL4767" i="2"/>
  <c r="AL4722" i="2"/>
  <c r="AL4697" i="2"/>
  <c r="AL4642" i="2"/>
  <c r="AL4954" i="2"/>
  <c r="AL4906" i="2"/>
  <c r="AL4859" i="2"/>
  <c r="AL4831" i="2"/>
  <c r="AL4787" i="2"/>
  <c r="AL4746" i="2"/>
  <c r="AL4688" i="2"/>
  <c r="AL4679" i="2"/>
  <c r="AL4646" i="2"/>
  <c r="AL4612" i="2"/>
  <c r="AL4754" i="2"/>
  <c r="AL4703" i="2"/>
  <c r="AL4660" i="2"/>
  <c r="AL4627" i="2"/>
  <c r="AL4598" i="2"/>
  <c r="AL4562" i="2"/>
  <c r="AL4508" i="2"/>
  <c r="AL4502" i="2"/>
  <c r="AL4476" i="2"/>
  <c r="AL4474" i="2"/>
  <c r="AL4376" i="2"/>
  <c r="AL4372" i="2"/>
  <c r="AL4318" i="2"/>
  <c r="AL4669" i="2"/>
  <c r="AL4510" i="2"/>
  <c r="AL4361" i="2"/>
  <c r="AL4295" i="2"/>
  <c r="AL4260" i="2"/>
  <c r="AL4532" i="2"/>
  <c r="AL4480" i="2"/>
  <c r="AL4422" i="2"/>
  <c r="AL4761" i="2"/>
  <c r="AL4634" i="2"/>
  <c r="AL4538" i="2"/>
  <c r="AL4725" i="2"/>
  <c r="AL4546" i="2"/>
  <c r="AL4593" i="2"/>
  <c r="AL4403" i="2"/>
  <c r="AL4311" i="2"/>
  <c r="AL4257" i="2"/>
  <c r="AL4244" i="2"/>
  <c r="AL3976" i="2"/>
  <c r="AL4693" i="2"/>
  <c r="AL4616" i="2"/>
  <c r="AL4405" i="2"/>
  <c r="AL4700" i="2"/>
  <c r="AL4687" i="2"/>
  <c r="AL4527" i="2"/>
  <c r="AL4513" i="2"/>
  <c r="AL4477" i="2"/>
  <c r="AL4471" i="2"/>
  <c r="AL4460" i="2"/>
  <c r="AL4432" i="2"/>
  <c r="AL4415" i="2"/>
  <c r="AL4274" i="2"/>
  <c r="AL4713" i="2"/>
  <c r="AL4531" i="2"/>
  <c r="AL4523" i="2"/>
  <c r="AL4438" i="2"/>
  <c r="AL4323" i="2"/>
  <c r="AL4256" i="2"/>
  <c r="AL4760" i="2"/>
  <c r="AL4631" i="2"/>
  <c r="AL4539" i="2"/>
  <c r="AL4423" i="2"/>
  <c r="AL4421" i="2"/>
  <c r="AL4347" i="2"/>
  <c r="AL4289" i="2"/>
  <c r="AL4192" i="2"/>
  <c r="AL4046" i="2"/>
  <c r="AL3928" i="2"/>
  <c r="AL4536" i="2"/>
  <c r="AL4507" i="2"/>
  <c r="AL4356" i="2"/>
  <c r="AL4194" i="2"/>
  <c r="AL3832" i="2"/>
  <c r="AL3761" i="2"/>
  <c r="AL3439" i="2"/>
  <c r="AL4122" i="2"/>
  <c r="AL3790" i="2"/>
  <c r="AL3721" i="2"/>
  <c r="AL4364" i="2"/>
  <c r="AL4280" i="2"/>
  <c r="AL4208" i="2"/>
  <c r="AL3743" i="2"/>
  <c r="AL3517" i="2"/>
  <c r="AL3443" i="2"/>
  <c r="AL3378" i="2"/>
  <c r="AL3255" i="2"/>
  <c r="AL3234" i="2"/>
  <c r="AL4547" i="2"/>
  <c r="AL3716" i="2"/>
  <c r="AL3467" i="2"/>
  <c r="AL4514" i="2"/>
  <c r="AL4424" i="2"/>
  <c r="AL3760" i="2"/>
  <c r="AL3613" i="2"/>
  <c r="AL4390" i="2"/>
  <c r="AL4320" i="2"/>
  <c r="AL4117" i="2"/>
  <c r="AL4097" i="2"/>
  <c r="AL3993" i="2"/>
  <c r="AL3900" i="2"/>
  <c r="AL3710" i="2"/>
  <c r="AL3683" i="2"/>
  <c r="AL3611" i="2"/>
  <c r="AL4269" i="2"/>
  <c r="AL4222" i="2"/>
  <c r="AL4213" i="2"/>
  <c r="AL4462" i="2"/>
  <c r="AL4406" i="2"/>
  <c r="AL4043" i="2"/>
  <c r="AL3955" i="2"/>
  <c r="AL3771" i="2"/>
  <c r="AL4147" i="2"/>
  <c r="AL3947" i="2"/>
  <c r="AL3899" i="2"/>
  <c r="AL3804" i="2"/>
  <c r="AL3493" i="2"/>
  <c r="AL3464" i="2"/>
  <c r="AL3284" i="2"/>
  <c r="AL3272" i="2"/>
  <c r="AL2454" i="2"/>
  <c r="AL3158" i="2"/>
  <c r="AL3018" i="2"/>
  <c r="AL2923" i="2"/>
  <c r="AL2355" i="2"/>
  <c r="AL3415" i="2"/>
  <c r="AL3316" i="2"/>
  <c r="AL3310" i="2"/>
  <c r="AL3212" i="2"/>
  <c r="AL2827" i="2"/>
  <c r="AL3285" i="2"/>
  <c r="AL3468" i="2"/>
  <c r="AL2835" i="2"/>
  <c r="AL3382" i="2"/>
  <c r="AL3330" i="2"/>
  <c r="AL2875" i="2"/>
  <c r="AL2851" i="2"/>
  <c r="AL2406" i="2"/>
  <c r="AL2767" i="2"/>
  <c r="AL2545" i="2"/>
  <c r="AL2530" i="2"/>
  <c r="AL2462" i="2"/>
  <c r="AL2414" i="2"/>
  <c r="AL2679" i="2"/>
  <c r="AL2263" i="2"/>
  <c r="AL2637" i="2"/>
  <c r="AL2624" i="2"/>
  <c r="AL2334" i="2"/>
  <c r="AL2314" i="2"/>
  <c r="AL2191" i="2"/>
  <c r="AL2641" i="2"/>
  <c r="AL2544" i="2"/>
  <c r="AL2476" i="2"/>
  <c r="AL2379" i="2"/>
  <c r="AL2364" i="2"/>
  <c r="AL2282" i="2"/>
  <c r="AL2727" i="2"/>
  <c r="AL2705" i="2"/>
  <c r="AL2557" i="2"/>
  <c r="AL2366" i="2"/>
  <c r="AL2357" i="2"/>
  <c r="AL2353" i="2"/>
  <c r="AL2320" i="2"/>
  <c r="AL1883" i="2"/>
  <c r="AL1776" i="2"/>
  <c r="AL1455" i="2"/>
  <c r="AL2066" i="2"/>
  <c r="AL1633" i="2"/>
  <c r="AL1327" i="2"/>
  <c r="AL1001" i="2"/>
  <c r="AL950" i="2"/>
  <c r="AL1486" i="2"/>
  <c r="AL1649" i="2"/>
  <c r="AL1173" i="2"/>
  <c r="AL1509" i="2"/>
  <c r="AL1411" i="2"/>
  <c r="AL1224" i="2"/>
  <c r="AL1308" i="2"/>
  <c r="AL1103" i="2"/>
  <c r="AL525" i="2"/>
  <c r="AL704" i="2"/>
  <c r="AL324" i="2"/>
  <c r="AL292" i="2"/>
  <c r="AL253" i="2"/>
  <c r="AL168" i="2"/>
  <c r="AL5057" i="2"/>
  <c r="AL5131" i="2"/>
  <c r="AL5227" i="2"/>
  <c r="AL163" i="2"/>
  <c r="AL22" i="2"/>
  <c r="AM22" i="2" s="1"/>
  <c r="AL63" i="2"/>
  <c r="AM63" i="2" s="1"/>
  <c r="AL62" i="2"/>
  <c r="AM62" i="2" s="1"/>
  <c r="AL61" i="2"/>
  <c r="AM61" i="2" s="1"/>
  <c r="AL60" i="2"/>
  <c r="AM60" i="2" s="1"/>
  <c r="AL59" i="2"/>
  <c r="AM59" i="2" s="1"/>
  <c r="AL58" i="2"/>
  <c r="AM58" i="2" s="1"/>
  <c r="AL57" i="2"/>
  <c r="AM57" i="2" s="1"/>
  <c r="AL56" i="2"/>
  <c r="AM56" i="2" s="1"/>
  <c r="AL55" i="2"/>
  <c r="AM55" i="2" s="1"/>
  <c r="AL54" i="2"/>
  <c r="AM54" i="2" s="1"/>
  <c r="AL53" i="2"/>
  <c r="AM53" i="2" s="1"/>
  <c r="AL52" i="2"/>
  <c r="AM52" i="2" s="1"/>
  <c r="AL51" i="2"/>
  <c r="AL50" i="2"/>
  <c r="AM50" i="2" s="1"/>
  <c r="AL49" i="2"/>
  <c r="AM49" i="2" s="1"/>
  <c r="AL48" i="2"/>
  <c r="AL47" i="2"/>
  <c r="AM47" i="2" s="1"/>
  <c r="AL46" i="2"/>
  <c r="AM46" i="2" s="1"/>
  <c r="AL45" i="2"/>
  <c r="AM45" i="2" s="1"/>
  <c r="AL44" i="2"/>
  <c r="AM44" i="2" s="1"/>
  <c r="AL43" i="2"/>
  <c r="AM43" i="2" s="1"/>
  <c r="AL42" i="2"/>
  <c r="AM42" i="2" s="1"/>
  <c r="AL41" i="2"/>
  <c r="AM41" i="2" s="1"/>
  <c r="AL40" i="2"/>
  <c r="AM40" i="2" s="1"/>
  <c r="AL39" i="2"/>
  <c r="AM39" i="2" s="1"/>
  <c r="AL38" i="2"/>
  <c r="AM38" i="2" s="1"/>
  <c r="AL37" i="2"/>
  <c r="AM37" i="2" s="1"/>
  <c r="AL36" i="2"/>
  <c r="AL35" i="2"/>
  <c r="AM35" i="2" s="1"/>
  <c r="AL34" i="2"/>
  <c r="AM34" i="2" s="1"/>
  <c r="AL33" i="2"/>
  <c r="AM33" i="2" s="1"/>
  <c r="AL32" i="2"/>
  <c r="AM32" i="2" s="1"/>
  <c r="AL31" i="2"/>
  <c r="AM31" i="2" s="1"/>
  <c r="AL30" i="2"/>
  <c r="AM30" i="2" s="1"/>
  <c r="AL29" i="2"/>
  <c r="AL27" i="2"/>
  <c r="AM27" i="2" s="1"/>
  <c r="AL26" i="2"/>
  <c r="AM26" i="2" s="1"/>
  <c r="AL25" i="2"/>
  <c r="AL24" i="2"/>
  <c r="AL23" i="2"/>
  <c r="AM23" i="2" s="1"/>
  <c r="AL21" i="2"/>
  <c r="AL19" i="2"/>
  <c r="AM19" i="2" s="1"/>
  <c r="AL18" i="2"/>
  <c r="AM18" i="2" s="1"/>
  <c r="AL17" i="2"/>
  <c r="AM17" i="2" s="1"/>
  <c r="AL16" i="2"/>
  <c r="AM16" i="2" s="1"/>
  <c r="AL15" i="2"/>
  <c r="AM15" i="2" s="1"/>
  <c r="AL14" i="2"/>
  <c r="AM14" i="2" s="1"/>
  <c r="AL13" i="2"/>
  <c r="AM13" i="2" s="1"/>
  <c r="AL12" i="2"/>
  <c r="AM12" i="2" s="1"/>
  <c r="AL11" i="2"/>
  <c r="AM11" i="2" s="1"/>
  <c r="AL10" i="2"/>
  <c r="AM10" i="2" s="1"/>
  <c r="AL9" i="2"/>
  <c r="AM9" i="2" s="1"/>
  <c r="AL8" i="2"/>
  <c r="AM8" i="2" s="1"/>
  <c r="AL7" i="2"/>
  <c r="AM7" i="2" s="1"/>
  <c r="AL6" i="2"/>
  <c r="AM6" i="2" s="1"/>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rgb="FF000000"/>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rgb="FF000000"/>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rgb="FF000000"/>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rgb="FF000000"/>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rgb="FF000000"/>
            <rFont val="Tahoma"/>
            <family val="2"/>
          </rPr>
          <t>An indicator value identifying if the culvert is continuously buried in the stream substrate throughout its entire length.</t>
        </r>
      </text>
    </comment>
    <comment ref="Q4" authorId="0" shapeId="0" xr:uid="{00000000-0006-0000-0200-000011000000}">
      <text>
        <r>
          <rPr>
            <b/>
            <sz val="9"/>
            <color rgb="FF000000"/>
            <rFont val="Tahoma"/>
            <family val="2"/>
          </rPr>
          <t xml:space="preserve">If answer to previous field = N, then this value is not needed.   
</t>
        </r>
        <r>
          <rPr>
            <b/>
            <sz val="9"/>
            <color rgb="FF000000"/>
            <rFont val="Tahoma"/>
            <family val="2"/>
          </rPr>
          <t xml:space="preserve">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rgb="FF000000"/>
            <rFont val="Tahoma"/>
            <family val="2"/>
          </rPr>
          <t>Is the culvert backwatered?</t>
        </r>
      </text>
    </comment>
    <comment ref="T4" authorId="0" shapeId="0" xr:uid="{00000000-0006-0000-0200-000014000000}">
      <text>
        <r>
          <rPr>
            <b/>
            <sz val="9"/>
            <color rgb="FF000000"/>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rgb="FF000000"/>
            <rFont val="Tahoma"/>
            <family val="2"/>
          </rPr>
          <t>The average depth of fill over culvert in meters (to the nearest 0.01m)</t>
        </r>
      </text>
    </comment>
    <comment ref="V4" authorId="0" shapeId="0" xr:uid="{00000000-0006-0000-0200-000016000000}">
      <text>
        <r>
          <rPr>
            <b/>
            <sz val="9"/>
            <color rgb="FF000000"/>
            <rFont val="Tahoma"/>
            <family val="2"/>
          </rPr>
          <t xml:space="preserve">A Sum of two measures (Meters, to the nearest 0.01m)
</t>
        </r>
        <r>
          <rPr>
            <b/>
            <sz val="9"/>
            <color rgb="FF000000"/>
            <rFont val="Tahoma"/>
            <family val="2"/>
          </rPr>
          <t xml:space="preserve">1.) The distance between the culvert invert and the top of the residual pool
</t>
        </r>
        <r>
          <rPr>
            <b/>
            <sz val="9"/>
            <color rgb="FF000000"/>
            <rFont val="Tahoma"/>
            <family val="2"/>
          </rPr>
          <t>2.) The height of the outlet control.</t>
        </r>
      </text>
    </comment>
    <comment ref="W4" authorId="0" shapeId="0" xr:uid="{00000000-0006-0000-0200-000017000000}">
      <text>
        <r>
          <rPr>
            <b/>
            <sz val="9"/>
            <color rgb="FF000000"/>
            <rFont val="Tahoma"/>
            <family val="2"/>
          </rPr>
          <t>The residual pool depth in meters (to the nearest 0.01m)</t>
        </r>
      </text>
    </comment>
    <comment ref="X4" authorId="0" shapeId="0" xr:uid="{00000000-0006-0000-0200-000018000000}">
      <text>
        <r>
          <rPr>
            <b/>
            <sz val="9"/>
            <color rgb="FF000000"/>
            <rFont val="Tahoma"/>
            <family val="2"/>
          </rPr>
          <t>Identify if there is a drop between the streambed elevation and the invert of the culvert at the inlet.</t>
        </r>
      </text>
    </comment>
    <comment ref="Y4" authorId="0" shapeId="0" xr:uid="{00000000-0006-0000-0200-000019000000}">
      <text>
        <r>
          <rPr>
            <b/>
            <sz val="9"/>
            <color rgb="FF000000"/>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rgb="FF000000"/>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rgb="FF000000"/>
            <rFont val="Tahoma"/>
            <family val="2"/>
          </rPr>
          <t>The evaluation of the crossing as a barrier to the fish passage, based on the final score value</t>
        </r>
        <r>
          <rPr>
            <sz val="9"/>
            <color rgb="FF000000"/>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<sst xmlns="http://schemas.openxmlformats.org/spreadsheetml/2006/main" count="1177" uniqueCount="314">
  <si>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</si>
  <si>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</si>
  <si>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</si>
  <si>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</si>
  <si>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</si>
  <si>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</si>
  <si>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</si>
  <si>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</si>
  <si>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</si>
  <si>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</si>
  <si>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</si>
  <si>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</si>
  <si>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</si>
  <si>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</si>
  <si>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</si>
  <si>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</si>
  <si>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</si>
  <si>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</si>
  <si>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</si>
  <si>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</si>
  <si>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</si>
  <si>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</si>
  <si>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</si>
  <si>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</si>
  <si>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</si>
  <si>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</si>
  <si>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</si>
  <si>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</si>
  <si>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</si>
  <si>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</si>
  <si>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</si>
  <si>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</si>
  <si>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</si>
  <si>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</si>
  <si>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</si>
  <si>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</si>
  <si>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</si>
  <si>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</si>
  <si>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</si>
  <si>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</si>
  <si>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</si>
  <si>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</si>
  <si>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</si>
  <si>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</si>
  <si>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</si>
  <si>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</si>
  <si>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</si>
  <si>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</si>
  <si>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</si>
  <si>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</si>
  <si>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</si>
  <si>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</si>
  <si>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</si>
  <si>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</si>
  <si>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</si>
  <si>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</si>
  <si>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</si>
  <si>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</si>
  <si>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</si>
  <si>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</si>
  <si>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</si>
  <si>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</si>
  <si>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</si>
  <si>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</si>
  <si>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</si>
  <si>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</si>
  <si>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</si>
  <si>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</si>
  <si>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</si>
  <si>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</si>
  <si>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</si>
  <si>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</si>
  <si>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</si>
  <si>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</si>
  <si>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</si>
  <si>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</si>
  <si>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</si>
  <si>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</si>
  <si>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</si>
  <si>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</si>
  <si>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</si>
  <si>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</si>
  <si>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</si>
  <si>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</si>
  <si>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</si>
  <si>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</si>
  <si>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</si>
  <si>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</si>
  <si>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</si>
  <si>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</si>
  <si>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</si>
  <si>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</si>
  <si>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</si>
  <si>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 xml:space="preserve"> Tributary to Elk River</t>
  </si>
  <si>
    <t>Elk River FSR</t>
  </si>
  <si>
    <t>Closed Bottom Structure</t>
  </si>
  <si>
    <t>Round Culvert</t>
  </si>
  <si>
    <t>No</t>
  </si>
  <si>
    <t>Yes</t>
  </si>
  <si>
    <t>Deep Fill</t>
  </si>
  <si>
    <t>Medium</t>
  </si>
  <si>
    <t>Low</t>
  </si>
  <si>
    <t>Tributary to Lowe Creek</t>
  </si>
  <si>
    <t>Tributary to Elk River</t>
  </si>
  <si>
    <t>Airport Road</t>
  </si>
  <si>
    <t>Driveway</t>
  </si>
  <si>
    <t>Private</t>
  </si>
  <si>
    <t>Busato Road</t>
  </si>
  <si>
    <t>Oval Culvert</t>
  </si>
  <si>
    <t>High</t>
  </si>
  <si>
    <t>Highway 43</t>
  </si>
  <si>
    <t>Other</t>
  </si>
  <si>
    <t>Ford</t>
  </si>
  <si>
    <t>AI</t>
  </si>
  <si>
    <t xml:space="preserve">Spur </t>
  </si>
  <si>
    <t>Hadner FSR</t>
  </si>
  <si>
    <t>Open Bottom Structure</t>
  </si>
  <si>
    <t>Bridge</t>
  </si>
  <si>
    <t>Dicken Road</t>
  </si>
  <si>
    <t>Lazy Lizard Lower</t>
  </si>
  <si>
    <t>Trail</t>
  </si>
  <si>
    <t>Mt Mclean Road</t>
  </si>
  <si>
    <t>AI, Kp</t>
  </si>
  <si>
    <t>McGiverin Road</t>
  </si>
  <si>
    <t>Railway</t>
  </si>
  <si>
    <t>Robinson Road</t>
  </si>
  <si>
    <t>Hill Road</t>
  </si>
  <si>
    <t>KP, AI</t>
  </si>
  <si>
    <t>Pipe Arch</t>
  </si>
  <si>
    <t>Cokato Road</t>
  </si>
  <si>
    <t>Concrete Box</t>
  </si>
  <si>
    <t>Fernie ski hill</t>
  </si>
  <si>
    <t>Fernie Nordic Trail</t>
  </si>
  <si>
    <t>Outlet pool appears dredged, very deep, approximately 2m and 7-8m long. Nice stream, good flow.</t>
  </si>
  <si>
    <t>Highway 3</t>
  </si>
  <si>
    <t>AI, MF, DN</t>
  </si>
  <si>
    <t>Dicken Rd</t>
  </si>
  <si>
    <t>Bean Creek</t>
  </si>
  <si>
    <t xml:space="preserve">Multiple fish observed in outlet pool (~190mm).  Some gravels suitable for spawning located upstream.  </t>
  </si>
  <si>
    <t>This crossing is very full of debris and has been recently dredges.  Less than 30cm freeboard from top of aggraded gravels at inlet and top of pipe arch.  Newly installed overflow pipe (0.55 diameter) on left bank.</t>
  </si>
  <si>
    <t>Fish observed at upstream crossing on Bean Rd.  Grate on inlet may prevent passage off adult fish.  Fill depth estimated from photos.</t>
  </si>
  <si>
    <t>Replace with New Open Bottom Structure</t>
  </si>
  <si>
    <t>Remove/Deactivate Crossing</t>
  </si>
  <si>
    <t>Good habitat, habitat assessment (FHAP) conducted in 2016 (Masse Environmental Consultants Ltd.) for proposed coal mine EA (Bingay). Electrofished U/S and D/S, see provincial records and data submission file at http://a100.gov.bc.ca/pub/acat/public/viewReport.do?reportId=52717 . Culvert does not appear to be barrier to any species at any life stage at time of survey.  Could be barrier to small fish at high flows. EB and WCT recrded upstream.</t>
  </si>
  <si>
    <t>Culvert slope estimate. Stream dredged upstream to remove sediments. Flows are slow through culvert and unlikely barrier for fry/parr for much of year. Crossing 4606244 is on deactivated spur upstream so very likely a ford, about 300m upstream same thing for 4604099.</t>
  </si>
  <si>
    <t>Stream not located where mapped. Unlikely fish bearing. Flows into forest floor downstream of culvert.</t>
  </si>
  <si>
    <t>Channelized downstream due to dredging for about 30m. Small stream, substrate primarily fines but some gravel present.</t>
  </si>
  <si>
    <t>Road is deactivated downstream so no crossings below (4607172, 4606929). Dry vegetated channel. Not likely fish bearing at this location.</t>
  </si>
  <si>
    <t>Plan in place to deactivate entire network here (personal communication with local machinery operator). Dry, vegetated channel. Likely non-fish bearing.</t>
  </si>
  <si>
    <t>Freshly dredged. Dry, Dredging may extend well down channel. See photo from about 130m downstream.</t>
  </si>
  <si>
    <t>Dry channel at time of survey, channel transitions to grass flats about 60 meters downstream.</t>
  </si>
  <si>
    <t>Whiting creek appeared to not be present through agricultural field downstream. This appeared to be only channel present for Whiting crossing this road although the main Whiting channel is present upstream. Dry, heavily vegetated channel downstream. Defined channel upstream but seems unlikely to be fish bearing.</t>
  </si>
  <si>
    <t>Flows through fenced private land upstream and downstream. Inlet has quite a bit of debris on it. Upstream is much steeper than downstream with gradient estimated at 12%. Small stream with good flow.</t>
  </si>
  <si>
    <t>Fenced private land upstream and downstream. Wetland area downstream.  Culvert does not appear likely to be significantly impacting upstream fish passage for juvenile or adult WCT at time of survey.</t>
  </si>
  <si>
    <t>Embedded culvert on private driveway. EB known upstream. Culvert does not appear likely to be significantly impacting upstream fish passage for juvenile or adult WCT at time of survey.</t>
  </si>
  <si>
    <t>Culvert collapsing in the middle. Private resdience driveway. Wetland type habitat upstream. Culvert does not appear likely to be significantly impacting upstream fish passage for juvenile or adult WCT at time of survey.</t>
  </si>
  <si>
    <t>Large stream with good flow at this crossing. Culvert inlet is damaged and there is a large outlet drop. Upstream of highway the stream is subsurface for ~600m.</t>
  </si>
  <si>
    <t>Pulled crossing, no issues, is now a ford.</t>
  </si>
  <si>
    <t>Deactivated. Ford. no issues.</t>
  </si>
  <si>
    <t>Small stream with good flow, EB known upstream. Fenced private land upstream and downstream. Stream measurements estimated due to fenced private land.  Large outlet drop.</t>
  </si>
  <si>
    <t>Culvert has extension with corner, small stream with good flow. WCT and EB documented upstream. Gravels present suitable for WCT and EB spawning.</t>
  </si>
  <si>
    <t>Bridge.</t>
  </si>
  <si>
    <t>Steep stream with good flow. FISS sample site 2593 near crossing location. Suspect too steep to be fish bearing.</t>
  </si>
  <si>
    <t>Laser level used for culvert slope. WCT spawning system. See Management Plan for the Westslope Cutthroat Trout (Oncorhynchus clarkii lewisi) in British Columbia 2014 http://a100.gov.bc.ca/pub/eirs/finishDownloadDocument.do?subdocumentId=9781</t>
  </si>
  <si>
    <t>Bike trail.</t>
  </si>
  <si>
    <t>Trail. Stream has been diverted to beside the road.</t>
  </si>
  <si>
    <t>Dry channel. Culvert is embedded.</t>
  </si>
  <si>
    <t>Vegetated channel. Not likely fish habitat.</t>
  </si>
  <si>
    <t>Dry vegetated channel. Not likely fish habitat.</t>
  </si>
  <si>
    <t>Dry mostly vegetated channel. Not likely fish habitat.</t>
  </si>
  <si>
    <t>Dry, mostly vegetated channel. Not likely fish habitat. Two pipes, one buried by fill. Inlet elevated resulting in small are of wetland vegetation upstream.</t>
  </si>
  <si>
    <t>Appears passable.</t>
  </si>
  <si>
    <t>Stream dry at time of survey. Vegetated channel, loaded with sediment. Inlet of culvert damaged, partly bent. Inlet and outlet area dredged. Not likely fish habitat.</t>
  </si>
  <si>
    <t>Upstream past dredging natural channel 2.5m wide. Downstream below dredging extremely braided, original channel difficult to track. Channel widths &gt;10m at times with substrate on top of banks and in bases of trees. Channel dredged upstream and downstream approximately 75m on each. Habitat assessment (FHAP) conducted in 2016 (Masse Environmental Consultants Ltd.) for proposed coal mine EA (Bingay). Electrofished D/S, see provincial records and data submission file at http://a100.gov.bc.ca/pub/acat/public/viewReport.do?reportId=52717 .</t>
  </si>
  <si>
    <t>Low, slow flow. Culvert completely backwatered.</t>
  </si>
  <si>
    <t>Large perched culvert. High value habitat. Habitat confirmation and sampling conducted.</t>
  </si>
  <si>
    <t>No visible channel. Not likely fish habitat. Agricultural area.</t>
  </si>
  <si>
    <t>Stream slope estimated due to fenced private land.</t>
  </si>
  <si>
    <t>Three barrels (.45m each). Two of the three have water flowing through them. Upstream and downstream channel widens out, slow flow through vegetated channel. Highly manipulated banks. Deep fine substrate on both sides of crossing. Upstream resembles a wetland. Crossing does not appear likely to be significantly impacting upstream fish passage for juvenile or adult WCT at time of survey.</t>
  </si>
  <si>
    <t>Dewatered upstream of highway for 600m. Deep pool present downstream fed subsurface from northside of culvert.  Approximately 9 WCT in outlet pool.  Four fish ~300mm and 5 fish ~200 mm. High confidence that the larger fish were WCT as easy to recognize spotted backs from bank.</t>
  </si>
  <si>
    <t>Dry at time of survey, no channel present, area vegetated grassland. Two culverts, 0.60m in diameter. Top culvert 0.5m higher than the lower.</t>
  </si>
  <si>
    <t>No access up or downstream due to fenced private land. Stream slope estimated.</t>
  </si>
  <si>
    <t>No access up or downstream due to fenced private land. Stream slope estimated. Water pipe intake at the outlet.</t>
  </si>
  <si>
    <t>Deactivated road. Ford.</t>
  </si>
  <si>
    <t>Stream dry at time of survey, channel not visible for about 40 downstream. Water and channel appear about 65m downstream of crossing. Upstream side of crossing inlet not visible, covered by road fill or deep organic debris. Channel upstream non-existent and dry. This system (labelled as Grave creek on the map) must be a side channel or remnant channel.</t>
  </si>
  <si>
    <t>Inlet clogged with debris 3/4 of way up. Upstream area is wetland/pond.</t>
  </si>
  <si>
    <t>Nice wooden pedestrian/bike bridge for recreational use.</t>
  </si>
  <si>
    <t>Very low flow at time of survey and 0.5m inlet drop from debris. Very steep culvert, possibly 2 sections with further upstream section being much steeper.</t>
  </si>
  <si>
    <t>Concrete arch, &gt;30% downstream of culvert for 10m likely from railway fill. Dry downstream with stagnant pools upstream.</t>
  </si>
  <si>
    <t>2 barrels, 0.90 and 1.1m. Debris rack on inlet. Stream dry at time of survey.</t>
  </si>
  <si>
    <t>3 large barrels (all 1.2m), very perched 0.7-1.3m above substrate. Stream dry at time of survey. Debris rack on upstream side of culvert. Note there is a slope change at the inlet of structure, much steeper short section possibly from damage.</t>
  </si>
  <si>
    <t>Stream dry at time of survey. Three barrels, 1.2m in diameter. All three very similar elevation, all perched .2-.50m above substrate.</t>
  </si>
  <si>
    <t>Stream dry at time of survey. 2 barrels (0.80 and 1.5m in diameter), similar heights but 1.5m slightly lower. Smaller barrel inlet damaged.</t>
  </si>
  <si>
    <t>Very recent heavy rains, 2 side channels for ski hill drainage infrastructure giving significant flow contributions just upstream of crossing, one of which is especially turbid (from large parking lot). Culvert not baffled, very steep. A lot of fill on paved access to condos. Old metal collar of culvert ripped off and in outlet pool.</t>
  </si>
  <si>
    <t>Debris guard on inlet. Unable to see through the culvert to other end. Highly manipulated banks, drains large parking area and ski hill. Steep with placed rocks (rip rap) in spots upstream. Stream goes under large turn around, paved area. Culvert likely &gt;1 piece with slight angle. Armoured banks downstream, lots of sediment (sand) form pavement and parking area.</t>
  </si>
  <si>
    <t>Inlet drop about .40m, significant and looks like increased barrier. Crossing is Fernie ski hill gravel road. urrently high and turbid due to heavy rain.</t>
  </si>
  <si>
    <t>Huge crossing through the ski hill parking lot and lodge area.  Largeoutlet drop and pool, extremely long culvert (close to 100m) tied in with other drainage infrastructure at the base of the Fernie ski hill. Inlet drop about .15m.</t>
  </si>
  <si>
    <t>Stream gradient immediately upstream of crossing is near 20%. Crossing is last of a series within close proximity to each other. The crossing downstream of this one is near 100m long. Likely more crossings upstream on ski hill infrastructure and access roads. Recent heavy rains.</t>
  </si>
  <si>
    <t>Fry observed at outlet pool.  Inlet of active pipe mostly plugged with debris. Overflow pipe is 0.8m outlet drop with fry/juveniles stranded in outlet pool.  Flows out of Fernie Ski Hill Road development area.</t>
  </si>
  <si>
    <t>Stream dry at time of survey.  Children’s fort in upstream channel indicating that flows are likely very minimal year round.</t>
  </si>
  <si>
    <t>Crossing Creek</t>
  </si>
  <si>
    <t>Tributary to Whiting Creek</t>
  </si>
  <si>
    <t>Littlemoor Creek</t>
  </si>
  <si>
    <t>Dalzell Creek</t>
  </si>
  <si>
    <t>Brule Creek</t>
  </si>
  <si>
    <t>Weigart Creek</t>
  </si>
  <si>
    <t>North Littlemoor Creek</t>
  </si>
  <si>
    <t>McCool Creek</t>
  </si>
  <si>
    <t>Hartley Creek</t>
  </si>
  <si>
    <t>Tributary to Lizard Creek</t>
  </si>
  <si>
    <t>Lowe Creek</t>
  </si>
  <si>
    <t>Hollow Creek</t>
  </si>
  <si>
    <t>Whiting Creek</t>
  </si>
  <si>
    <t>Grave Creek</t>
  </si>
  <si>
    <t>Tributary to Grave Creek</t>
  </si>
  <si>
    <t>Cokato Creek</t>
  </si>
  <si>
    <t>Unknown</t>
  </si>
  <si>
    <t>MoTi arterial</t>
  </si>
  <si>
    <t>MoTi local</t>
  </si>
  <si>
    <t>MoTi highway</t>
  </si>
  <si>
    <t>MoTi collector</t>
  </si>
  <si>
    <t>Fernie local</t>
  </si>
  <si>
    <t>Canadian Pacific</t>
  </si>
  <si>
    <t>Fernie collector</t>
  </si>
  <si>
    <t>FLNR 0103</t>
  </si>
  <si>
    <t>Canfor R08370</t>
  </si>
  <si>
    <t>Canfor R08473</t>
  </si>
  <si>
    <t>FLNR 6946</t>
  </si>
  <si>
    <t>Canfor R08477</t>
  </si>
  <si>
    <t>Replace Structure with Streambed Simulation CBS</t>
  </si>
  <si>
    <t>Install Downstream Weir(s) to Backwater CBS</t>
  </si>
  <si>
    <t>unclassified</t>
  </si>
  <si>
    <t>BCFP-003_phase1</t>
  </si>
  <si>
    <t>Elk River Watershed Group Fish Passage Assessments - Phase 1</t>
  </si>
  <si>
    <t>00188139</t>
  </si>
  <si>
    <t>Betty Rebellato</t>
  </si>
  <si>
    <t>800-563-9453</t>
  </si>
  <si>
    <t>BettyR@cwf-fcf.org</t>
  </si>
  <si>
    <t>OTHER</t>
  </si>
  <si>
    <t>Al Irvine</t>
  </si>
  <si>
    <t>250-777-1518</t>
  </si>
  <si>
    <t>al@newgraphenvironment.com</t>
  </si>
  <si>
    <t>PSCIS Images</t>
  </si>
  <si>
    <t>Large stream with good flow. Flows currently mostly through south culvert which has slightly higher outlet drop. Similar elevation outlets so added together for width. Lazer level used for culvert slope. Cobble/boulder substrate. Boulder cover.</t>
  </si>
  <si>
    <t>An error occured locating the image Folder C:\Users\allan\OneDrive\New_Graph\Current\2020-025_cwf_elk\scripts\fish_passage_elk_2020_reporting\data\4605653. This folder must be located in the same directory as this submission sheet, and have the same name as the project '4605653'. Please ensure this folder exists.</t>
  </si>
  <si>
    <t>An error occured locating the image Folder C:\Users\allan\OneDrive\New_Graph\Current\2020-025_cwf_elk\scripts\fish_passage_elk_2020_reporting\data\4605675. This folder must be located in the same directory as this submission sheet, and have the same name as the project '4605675'. Please ensure this folder exists.</t>
  </si>
  <si>
    <t>An error occured locating the image Folder C:\Users\allan\OneDrive\New_Graph\Current\2020-025_cwf_elk\scripts\fish_passage_elk_2020_reporting\data\4605705. This folder must be located in the same directory as this submission sheet, and have the same name as the project '4605705'. Please ensure this folder exists.</t>
  </si>
  <si>
    <t>An error occured locating the image Folder C:\Users\allan\OneDrive\New_Graph\Current\2020-025_cwf_elk\scripts\fish_passage_elk_2020_reporting\data\4605708. This folder must be located in the same directory as this submission sheet, and have the same name as the project '4605708'. Please ensure this folder exists.</t>
  </si>
  <si>
    <t>An error occured locating the image Folder C:\Users\allan\OneDrive\New_Graph\Current\2020-025_cwf_elk\scripts\fish_passage_elk_2020_reporting\data\4606835. This folder must be located in the same directory as this submission sheet, and have the same name as the project '4606835'. Please ensure this folder exists.</t>
  </si>
  <si>
    <t>An error occured locating the image Folder C:\Users\allan\OneDrive\New_Graph\Current\2020-025_cwf_elk\scripts\fish_passage_elk_2020_reporting\data\4606669. This folder must be located in the same directory as this submission sheet, and have the same name as the project '4606669'. Please ensure this folder exists.</t>
  </si>
  <si>
    <t>An error occured locating the image Folder C:\Users\allan\OneDrive\New_Graph\Current\2020-025_cwf_elk\scripts\fish_passage_elk_2020_reporting\data\4605733. This folder must be located in the same directory as this submission sheet, and have the same name as the project '4605733'. Please ensure this folder exists.</t>
  </si>
  <si>
    <t>An error occured locating the image Folder C:\Users\allan\OneDrive\New_Graph\Current\2020-025_cwf_elk\scripts\fish_passage_elk_2020_reporting\data\4605697. This folder must be located in the same directory as this submission sheet, and have the same name as the project '4605697'. Please ensure this folder exists.</t>
  </si>
  <si>
    <t>An error occured locating the image Folder C:\Users\allan\OneDrive\New_Graph\Current\2020-025_cwf_elk\scripts\fish_passage_elk_2020_reporting\data\4600329. This folder must be located in the same directory as this submission sheet, and have the same name as the project '4600329'. Please ensure this folder exists.</t>
  </si>
  <si>
    <t>An error occured locating the image Folder C:\Users\allan\OneDrive\New_Graph\Current\2020-025_cwf_elk\scripts\fish_passage_elk_2020_reporting\data\4600084. This folder must be located in the same directory as this submission sheet, and have the same name as the project '4600084'. Please ensure this folder exists.</t>
  </si>
  <si>
    <t>An error occured locating the image Folder C:\Users\allan\OneDrive\New_Graph\Current\2020-025_cwf_elk\scripts\fish_passage_elk_2020_reporting\data\4600040. This folder must be located in the same directory as this submission sheet, and have the same name as the project '4600040'. Please ensure this folder exists.</t>
  </si>
  <si>
    <t>An error occured locating the image Folder C:\Users\allan\OneDrive\New_Graph\Current\2020-025_cwf_elk\scripts\fish_passage_elk_2020_reporting\data\4600037. This folder must be located in the same directory as this submission sheet, and have the same name as the project '4600037'. Please ensure this folder exists.</t>
  </si>
  <si>
    <t>An error occured locating the image Folder C:\Users\allan\OneDrive\New_Graph\Current\2020-025_cwf_elk\scripts\fish_passage_elk_2020_reporting\data\4600038. This folder must be located in the same directory as this submission sheet, and have the same name as the project '4600038'. Please ensure this folder exists.</t>
  </si>
  <si>
    <t>An error occured locating the image Folder C:\Users\allan\OneDrive\New_Graph\Current\2020-025_cwf_elk\scripts\fish_passage_elk_2020_reporting\data\4600183. This folder must be located in the same directory as this submission sheet, and have the same name as the project '4600183'. Please ensure this folder exists.</t>
  </si>
  <si>
    <t>An error occured locating the image Folder C:\Users\allan\OneDrive\New_Graph\Current\2020-025_cwf_elk\scripts\fish_passage_elk_2020_reporting\data\4600069. This folder must be located in the same directory as this submission sheet, and have the same name as the project '4600069'. Please ensure this folder exists.</t>
  </si>
  <si>
    <t>An error occured locating the image Folder C:\Users\allan\OneDrive\New_Graph\Current\2020-025_cwf_elk\scripts\fish_passage_elk_2020_reporting\data\4601205. This folder must be located in the same directory as this submission sheet, and have the same name as the project '4601205'. Please ensure this folder exists.</t>
  </si>
  <si>
    <t>An error occured locating the image Folder C:\Users\allan\OneDrive\New_Graph\Current\2020-025_cwf_elk\scripts\fish_passage_elk_2020_reporting\data\4602276. This folder must be located in the same directory as this submission sheet, and have the same name as the project '4602276'. Please ensure this folder exists.</t>
  </si>
  <si>
    <t>An error occured locating the image Folder C:\Users\allan\OneDrive\New_Graph\Current\2020-025_cwf_elk\scripts\fish_passage_elk_2020_reporting\data\4600184. This folder must be located in the same directory as this submission sheet, and have the same name as the project '4600184'. Please ensure this folder exists.</t>
  </si>
  <si>
    <t>An error occured locating the image Folder C:\Users\allan\OneDrive\New_Graph\Current\2020-025_cwf_elk\scripts\fish_passage_elk_2020_reporting\data\4600185. This folder must be located in the same directory as this submission sheet, and have the same name as the project '4600185'. Please ensure this folder exists.</t>
  </si>
  <si>
    <t>An error occured locating the image Folder C:\Users\allan\OneDrive\New_Graph\Current\2020-025_cwf_elk\scripts\fish_passage_elk_2020_reporting\data\2020091801. This folder must be located in the same directory as this submission sheet, and have the same name as the project '2020091801'. Please ensure this folder exists.</t>
  </si>
  <si>
    <t>An error occured locating the image Folder C:\Users\allan\OneDrive\New_Graph\Current\2020-025_cwf_elk\scripts\fish_passage_elk_2020_reporting\data\4607023. This folder must be located in the same directory as this submission sheet, and have the same name as the project '4607023'. Please ensure this folder exists.</t>
  </si>
  <si>
    <t>An error occured locating the image Folder C:\Users\allan\OneDrive\New_Graph\Current\2020-025_cwf_elk\scripts\fish_passage_elk_2020_reporting\data\4604198. This folder must be located in the same directory as this submission sheet, and have the same name as the project '4604198'. Please ensure this folder exists.</t>
  </si>
  <si>
    <t>An error occured locating the image Folder C:\Users\allan\OneDrive\New_Graph\Current\2020-025_cwf_elk\scripts\fish_passage_elk_2020_reporting\data\4600367. This folder must be located in the same directory as this submission sheet, and have the same name as the project '4600367'. Please ensure this folder exists.</t>
  </si>
  <si>
    <t>An error occured locating the image Folder C:\Users\allan\OneDrive\New_Graph\Current\2020-025_cwf_elk\scripts\fish_passage_elk_2020_reporting\data\2020092201. This folder must be located in the same directory as this submission sheet, and have the same name as the project '2020092201'. Please ensure this folder exists.</t>
  </si>
  <si>
    <t>An error occured locating the image Folder C:\Users\allan\OneDrive\New_Graph\Current\2020-025_cwf_elk\scripts\fish_passage_elk_2020_reporting\data\2020092301. This folder must be located in the same directory as this submission sheet, and have the same name as the project '2020092301'. Please ensure this folder exists.</t>
  </si>
  <si>
    <t>An error occured locating the image Folder C:\Users\allan\OneDrive\New_Graph\Current\2020-025_cwf_elk\scripts\fish_passage_elk_2020_reporting\data\4600077. This folder must be located in the same directory as this submission sheet, and have the same name as the project '4600077'. Please ensure this folder exists.</t>
  </si>
  <si>
    <t>An error occured locating the image Folder C:\Users\allan\OneDrive\New_Graph\Current\2020-025_cwf_elk\scripts\fish_passage_elk_2020_reporting\data\4600102. This folder must be located in the same directory as this submission sheet, and have the same name as the project '4600102'. Please ensure this folder exists.</t>
  </si>
  <si>
    <t>An error occured locating the image Folder C:\Users\allan\OneDrive\New_Graph\Current\2020-025_cwf_elk\scripts\fish_passage_elk_2020_reporting\data\4603265. This folder must be located in the same directory as this submission sheet, and have the same name as the project '4603265'. Please ensure this folder exists.</t>
  </si>
  <si>
    <t>An error occured locating the image Folder C:\Users\allan\OneDrive\New_Graph\Current\2020-025_cwf_elk\scripts\fish_passage_elk_2020_reporting\data\4600008. This folder must be located in the same directory as this submission sheet, and have the same name as the project '4600008'. Please ensure this folder exists.</t>
  </si>
  <si>
    <t>An error occured locating the image Folder C:\Users\allan\OneDrive\New_Graph\Current\2020-025_cwf_elk\scripts\fish_passage_elk_2020_reporting\data\2020092302. This folder must be located in the same directory as this submission sheet, and have the same name as the project '2020092302'. Please ensure this folder exists.</t>
  </si>
  <si>
    <t>An error occured locating the image Folder C:\Users\allan\OneDrive\New_Graph\Current\2020-025_cwf_elk\scripts\fish_passage_elk_2020_reporting\data\2020092303. This folder must be located in the same directory as this submission sheet, and have the same name as the project '2020092303'. Please ensure this folder exists.</t>
  </si>
  <si>
    <t>An error occured locating the image Folder C:\Users\allan\OneDrive\New_Graph\Current\2020-025_cwf_elk\scripts\fish_passage_elk_2020_reporting\data\4605636. This folder must be located in the same directory as this submission sheet, and have the same name as the project '4605636'. Please ensure this folder exists.</t>
  </si>
  <si>
    <t>An error occured locating the image Folder C:\Users\allan\OneDrive\New_Graph\Current\2020-025_cwf_elk\scripts\fish_passage_elk_2020_reporting\data\4605707. This folder must be located in the same directory as this submission sheet, and have the same name as the project '4605707'. Please ensure this folder exists.</t>
  </si>
  <si>
    <t>An error occured locating the image Folder C:\Users\allan\OneDrive\New_Graph\Current\2020-025_cwf_elk\scripts\fish_passage_elk_2020_reporting\data\4605742. This folder must be located in the same directory as this submission sheet, and have the same name as the project '4605742'. Please ensure this folder exists.</t>
  </si>
  <si>
    <t>An error occured locating the image Folder C:\Users\allan\OneDrive\New_Graph\Current\2020-025_cwf_elk\scripts\fish_passage_elk_2020_reporting\data\4605649. This folder must be located in the same directory as this submission sheet, and have the same name as the project '4605649'. Please ensure this folder exists.</t>
  </si>
  <si>
    <t>An error occured locating the image Folder C:\Users\allan\OneDrive\New_Graph\Current\2020-025_cwf_elk\scripts\fish_passage_elk_2020_reporting\data\4605732. This folder must be located in the same directory as this submission sheet, and have the same name as the project '4605732'. Please ensure this folder exists.</t>
  </si>
  <si>
    <t>An error occured locating the image Folder C:\Users\allan\OneDrive\New_Graph\Current\2020-025_cwf_elk\scripts\fish_passage_elk_2020_reporting\data\4600090. This folder must be located in the same directory as this submission sheet, and have the same name as the project '4600090'. Please ensure this folder exists.</t>
  </si>
  <si>
    <t>An error occured locating the image Folder C:\Users\allan\OneDrive\New_Graph\Current\2020-025_cwf_elk\scripts\fish_passage_elk_2020_reporting\data\4600092. This folder must be located in the same directory as this submission sheet, and have the same name as the project '4600092'. Please ensure this folder exists.</t>
  </si>
  <si>
    <t>An error occured locating the image Folder C:\Users\allan\OneDrive\New_Graph\Current\2020-025_cwf_elk\scripts\fish_passage_elk_2020_reporting\data\4600039. This folder must be located in the same directory as this submission sheet, and have the same name as the project '4600039'. Please ensure this folder exists.</t>
  </si>
  <si>
    <t>An error occured locating the image Folder C:\Users\allan\OneDrive\New_Graph\Current\2020-025_cwf_elk\scripts\fish_passage_elk_2020_reporting\data\4600070. This folder must be located in the same directory as this submission sheet, and have the same name as the project '4600070'. Please ensure this folder exists.</t>
  </si>
  <si>
    <t>An error occured locating the image Folder C:\Users\allan\OneDrive\New_Graph\Current\2020-025_cwf_elk\scripts\fish_passage_elk_2020_reporting\data\4600181. This folder must be located in the same directory as this submission sheet, and have the same name as the project '4600181'. Please ensure this folder exists.</t>
  </si>
  <si>
    <t>An error occured locating the image Folder C:\Users\allan\OneDrive\New_Graph\Current\2020-025_cwf_elk\scripts\fish_passage_elk_2020_reporting\data\4600186. This folder must be located in the same directory as this submission sheet, and have the same name as the project '4600186'. Please ensure this folder exists.</t>
  </si>
  <si>
    <t>An error occured locating the image Folder C:\Users\allan\OneDrive\New_Graph\Current\2020-025_cwf_elk\scripts\fish_passage_elk_2020_reporting\data\4600140. This folder must be located in the same directory as this submission sheet, and have the same name as the project '4600140'. Please ensure this folder exists.</t>
  </si>
  <si>
    <t>An error occured locating the image Folder C:\Users\allan\OneDrive\New_Graph\Current\2020-025_cwf_elk\scripts\fish_passage_elk_2020_reporting\data\4601129. This folder must be located in the same directory as this submission sheet, and have the same name as the project '4601129'. Please ensure this folder exists.</t>
  </si>
  <si>
    <t>An error occured locating the image Folder C:\Users\allan\OneDrive\New_Graph\Current\2020-025_cwf_elk\scripts\fish_passage_elk_2020_reporting\data\4602533. This folder must be located in the same directory as this submission sheet, and have the same name as the project '4602533'. Please ensure this folder exists.</t>
  </si>
  <si>
    <t>An error occured locating the image Folder C:\Users\allan\OneDrive\New_Graph\Current\2020-025_cwf_elk\scripts\fish_passage_elk_2020_reporting\data\4602270. This folder must be located in the same directory as this submission sheet, and have the same name as the project '4602270'. Please ensure this folder exists.</t>
  </si>
  <si>
    <t>An error occured locating the image Folder C:\Users\allan\OneDrive\New_Graph\Current\2020-025_cwf_elk\scripts\fish_passage_elk_2020_reporting\data\2020092310. This folder must be located in the same directory as this submission sheet, and have the same name as the project '2020092310'. Please ensure this folder exists.</t>
  </si>
  <si>
    <t>An error occured locating the image Folder C:\Users\allan\OneDrive\New_Graph\Current\2020-025_cwf_elk\scripts\fish_passage_elk_2020_reporting\data\4600130. This folder must be located in the same directory as this submission sheet, and have the same name as the project '4600130'. Please ensure this folder exists.</t>
  </si>
  <si>
    <t>An error occured locating the image Folder C:\Users\allan\OneDrive\New_Graph\Current\2020-025_cwf_elk\scripts\fish_passage_elk_2020_reporting\data\4606807. This folder must be located in the same directory as this submission sheet, and have the same name as the project '4606807'. Please ensure this folder exists.</t>
  </si>
  <si>
    <t>An error occured locating the image Folder C:\Users\allan\OneDrive\New_Graph\Current\2020-025_cwf_elk\scripts\fish_passage_elk_2020_reporting\data\4600080. This folder must be located in the same directory as this submission sheet, and have the same name as the project '4600080'. Please ensure this folder exists.</t>
  </si>
  <si>
    <t>An error occured locating the image Folder C:\Users\allan\OneDrive\New_Graph\Current\2020-025_cwf_elk\scripts\fish_passage_elk_2020_reporting\data\4603291. This folder must be located in the same directory as this submission sheet, and have the same name as the project '4603291'. Please ensure this folder exists.</t>
  </si>
  <si>
    <t>An error occured locating the image Folder C:\Users\allan\OneDrive\New_Graph\Current\2020-025_cwf_elk\scripts\fish_passage_elk_2020_reporting\data\4600316. This folder must be located in the same directory as this submission sheet, and have the same name as the project '4600316'. Please ensure this folder exists.</t>
  </si>
  <si>
    <t>An error occured locating the image Folder C:\Users\allan\OneDrive\New_Graph\Current\2020-025_cwf_elk\scripts\fish_passage_elk_2020_reporting\data\4601594. This folder must be located in the same directory as this submission sheet, and have the same name as the project '4601594'. Please ensure this folder exists.</t>
  </si>
  <si>
    <t>An error occured locating the image Folder C:\Users\allan\OneDrive\New_Graph\Current\2020-025_cwf_elk\scripts\fish_passage_elk_2020_reporting\data\4600169. This folder must be located in the same directory as this submission sheet, and have the same name as the project '4600169'. Please ensure this folder exists.</t>
  </si>
  <si>
    <t>An error occured locating the image Folder C:\Users\allan\OneDrive\New_Graph\Current\2020-025_cwf_elk\scripts\fish_passage_elk_2020_reporting\data\4600134. This folder must be located in the same directory as this submission sheet, and have the same name as the project '4600134'. Please ensure this folder exists.</t>
  </si>
  <si>
    <t>An error occured locating the image Folder C:\Users\allan\OneDrive\New_Graph\Current\2020-025_cwf_elk\scripts\fish_passage_elk_2020_reporting\data\4604455. This folder must be located in the same directory as this submission sheet, and have the same name as the project '4604455'. Please ensure this folder exists.</t>
  </si>
  <si>
    <t>An error occured locating the image Folder C:\Users\allan\OneDrive\New_Graph\Current\2020-025_cwf_elk\scripts\fish_passage_elk_2020_reporting\data\4601639. This folder must be located in the same directory as this submission sheet, and have the same name as the project '4601639'. Please ensure this folder exists.</t>
  </si>
  <si>
    <t>An error occured locating the image Folder C:\Users\allan\OneDrive\New_Graph\Current\2020-025_cwf_elk\scripts\fish_passage_elk_2020_reporting\data\4601556. This folder must be located in the same directory as this submission sheet, and have the same name as the project '4601556'. Please ensure this folder exists.</t>
  </si>
  <si>
    <t>An error occured locating the image Folder C:\Users\allan\OneDrive\New_Graph\Current\2020-025_cwf_elk\scripts\fish_passage_elk_2020_reporting\data\4602349. This folder must be located in the same directory as this submission sheet, and have the same name as the project '4602349'. Please ensure this folder exists.</t>
  </si>
  <si>
    <t>An error occured locating the image Folder C:\Users\allan\OneDrive\New_Graph\Current\2020-025_cwf_elk\scripts\fish_passage_elk_2020_reporting\data\4600332. This folder must be located in the same directory as this submission sheet, and have the same name as the project '4600332'. Please ensure this folder exists.</t>
  </si>
  <si>
    <t>An error occured locating the image Folder C:\Users\allan\OneDrive\New_Graph\Current\2020-025_cwf_elk\scripts\fish_passage_elk_2020_reporting\data\4600026. This folder must be located in the same directory as this submission sheet, and have the same name as the project '4600026'. Please ensure this folder exists.</t>
  </si>
  <si>
    <t>An error occured locating the image Folder C:\Users\allan\OneDrive\New_Graph\Current\2020-025_cwf_elk\scripts\fish_passage_elk_2020_reporting\data\4600028. This folder must be located in the same directory as this submission sheet, and have the same name as the project '4600028'. Please ensure this folder exists.</t>
  </si>
  <si>
    <t>An error occured locating the image Folder C:\Users\allan\OneDrive\New_Graph\Current\2020-025_cwf_elk\scripts\fish_passage_elk_2020_reporting\data\4600157. This folder must be located in the same directory as this submission sheet, and have the same name as the project '4600157'. Please ensure this folder exists.</t>
  </si>
  <si>
    <t>An error occured locating the image Folder C:\Users\allan\OneDrive\New_Graph\Current\2020-025_cwf_elk\scripts\fish_passage_elk_2020_reporting\data\4600158. This folder must be located in the same directory as this submission sheet, and have the same name as the project '4600158'. Please ensure this folder exists.</t>
  </si>
  <si>
    <t>private</t>
  </si>
  <si>
    <t>Spur</t>
  </si>
  <si>
    <t>Lower Elk Valley Rd</t>
  </si>
  <si>
    <t>Line Creek Mine Rd</t>
  </si>
  <si>
    <t>Highline Drive</t>
  </si>
  <si>
    <t>186987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</si>
</sst>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6">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xf numFmtId="2" fontId="0" fillId="10" borderId="0" xfId="0" applyNumberFormat="1" applyFill="1" applyProtection="1">
      <protection locked="0"/>
    </xf>
    <xf numFmtId="0" fontId="0" fillId="1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al@newgraphenvironment.com" TargetMode="External"/><Relationship Id="rId1" Type="http://schemas.openxmlformats.org/officeDocument/2006/relationships/hyperlink" Target="mailto:BettyR@cwf-fcf.org"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ColWidth="8.85546875" defaultRowHeight="15" x14ac:dyDescent="0.25"/>
  <cols>
    <col min="1" max="1" width="14.42578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zoomScaleNormal="100" workbookViewId="0">
      <selection activeCell="F18" sqref="F18"/>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232</v>
      </c>
    </row>
    <row r="5" spans="1:20" x14ac:dyDescent="0.25">
      <c r="A5" s="4" t="s">
        <v>58</v>
      </c>
      <c r="B5" t="s">
        <v>233</v>
      </c>
    </row>
    <row r="6" spans="1:20" x14ac:dyDescent="0.25">
      <c r="A6" s="4"/>
      <c r="B6" s="118"/>
    </row>
    <row r="7" spans="1:20" x14ac:dyDescent="0.25">
      <c r="A7" s="4" t="s">
        <v>86</v>
      </c>
      <c r="B7" s="119" t="s">
        <v>234</v>
      </c>
    </row>
    <row r="8" spans="1:20" x14ac:dyDescent="0.25">
      <c r="A8" s="4" t="s">
        <v>73</v>
      </c>
      <c r="B8" t="s">
        <v>235</v>
      </c>
    </row>
    <row r="9" spans="1:20" x14ac:dyDescent="0.25">
      <c r="A9" s="4" t="s">
        <v>74</v>
      </c>
      <c r="B9" t="s">
        <v>236</v>
      </c>
    </row>
    <row r="10" spans="1:20" x14ac:dyDescent="0.25">
      <c r="A10" s="4" t="s">
        <v>75</v>
      </c>
      <c r="B10" s="120" t="s">
        <v>237</v>
      </c>
    </row>
    <row r="11" spans="1:20" x14ac:dyDescent="0.25">
      <c r="A11" s="4"/>
      <c r="B11" s="118"/>
    </row>
    <row r="12" spans="1:20" x14ac:dyDescent="0.25">
      <c r="A12" s="4" t="s">
        <v>36</v>
      </c>
      <c r="B12" s="119" t="s">
        <v>313</v>
      </c>
    </row>
    <row r="13" spans="1:20" x14ac:dyDescent="0.25">
      <c r="A13" s="4" t="s">
        <v>37</v>
      </c>
      <c r="B13" t="s">
        <v>239</v>
      </c>
    </row>
    <row r="14" spans="1:20" x14ac:dyDescent="0.25">
      <c r="A14" s="4" t="s">
        <v>38</v>
      </c>
      <c r="B14" t="s">
        <v>240</v>
      </c>
    </row>
    <row r="15" spans="1:20" x14ac:dyDescent="0.25">
      <c r="A15" s="4" t="s">
        <v>39</v>
      </c>
      <c r="B15" s="120" t="s">
        <v>241</v>
      </c>
    </row>
    <row r="16" spans="1:20" x14ac:dyDescent="0.25">
      <c r="A16" s="4"/>
      <c r="B16" s="118"/>
    </row>
    <row r="17" spans="1:2" x14ac:dyDescent="0.25">
      <c r="A17" s="4" t="s">
        <v>40</v>
      </c>
    </row>
    <row r="18" spans="1:2" x14ac:dyDescent="0.25">
      <c r="A18" s="4" t="s">
        <v>41</v>
      </c>
      <c r="B18" t="s">
        <v>238</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FC2E21B9-5C86-4C63-B1B0-C05F6F3FBB19}"/>
    <hyperlink ref="B15" r:id="rId2" xr:uid="{163B9A71-13CD-409A-BC0C-4D6B2E9D87E0}"/>
  </hyperlinks>
  <pageMargins left="0.7" right="0.7" top="0.75" bottom="0.75" header="0.3" footer="0.3"/>
  <pageSetup orientation="portrait" r:id="rId3"/>
  <headerFooter>
    <oddHeader>&amp;C&amp;G</oddHeader>
  </headerFooter>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zoomScaleNormal="100" workbookViewId="0">
      <pane ySplit="2370" topLeftCell="A7" activePane="bottomLeft"/>
      <selection pane="bottomLeft" activeCell="I61" sqref="I61"/>
    </sheetView>
  </sheetViews>
  <sheetFormatPr defaultColWidth="8.85546875"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42578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42578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44090</v>
      </c>
      <c r="B5" s="112"/>
      <c r="C5" s="116">
        <v>4605653</v>
      </c>
      <c r="D5" s="116" t="s">
        <v>92</v>
      </c>
      <c r="E5" s="77">
        <v>11</v>
      </c>
      <c r="F5" s="53">
        <v>644666</v>
      </c>
      <c r="G5" s="51">
        <v>5564940</v>
      </c>
      <c r="H5" s="11" t="s">
        <v>103</v>
      </c>
      <c r="I5" s="11" t="s">
        <v>94</v>
      </c>
      <c r="J5" s="104"/>
      <c r="K5" s="11" t="s">
        <v>224</v>
      </c>
      <c r="L5" s="116" t="s">
        <v>95</v>
      </c>
      <c r="M5" s="116" t="s">
        <v>96</v>
      </c>
      <c r="N5" s="109">
        <v>0.9</v>
      </c>
      <c r="O5" s="109">
        <v>10.92</v>
      </c>
      <c r="P5" s="116" t="s">
        <v>97</v>
      </c>
      <c r="Q5" s="121"/>
      <c r="R5" s="116" t="s">
        <v>97</v>
      </c>
      <c r="S5" s="116" t="s">
        <v>97</v>
      </c>
      <c r="T5" s="121"/>
      <c r="U5" s="116">
        <v>0.4</v>
      </c>
      <c r="V5" s="116">
        <v>0</v>
      </c>
      <c r="W5" s="116">
        <v>0.2</v>
      </c>
      <c r="X5" s="116" t="s">
        <v>97</v>
      </c>
      <c r="Y5" s="116">
        <v>3.2</v>
      </c>
      <c r="Z5" s="116">
        <v>2.5</v>
      </c>
      <c r="AA5" s="116">
        <v>2</v>
      </c>
      <c r="AB5" s="115" t="s">
        <v>97</v>
      </c>
      <c r="AC5" s="115" t="s">
        <v>98</v>
      </c>
      <c r="AD5" s="116" t="s">
        <v>99</v>
      </c>
      <c r="AE5" s="116" t="s">
        <v>100</v>
      </c>
      <c r="AF5" s="22">
        <f>IF(ISBLANK(Z5), 0, IF(ISBLANK(N5) &lt; 0, 0,Z5 / N5))</f>
        <v>2.7777777777777777</v>
      </c>
      <c r="AG5" s="15">
        <f>IF(O5&lt;15,0,IF(AND(O5&gt;=15,O5&lt;30),3,IF(O5&gt;=30,6,0)))</f>
        <v>0</v>
      </c>
      <c r="AH5" s="7">
        <f>IF(P5 = "No", 10, IF(ISBLANK(N5), 0, IF(ISBLANK(Q5), 0, IF(OR(Q5 / N5 &lt;= 0.2, Q5 &lt; 0.3), 5, IF(OR(Q5 / N5 &gt;= 0.2, Q5 &gt;= 0.3), 0)))))</f>
        <v>10</v>
      </c>
      <c r="AI5" s="7">
        <f>IF(V5&lt;0.15,0,IF(AND(V5&gt;=0.15,V5&lt;0.3),5,IF(V5&gt;=0.3,10,0)))</f>
        <v>0</v>
      </c>
      <c r="AJ5" s="7">
        <f>IF(Y5&lt;1,0,IF(AND(Y5&gt;=1,Y5&lt;3),5,IF(Y5&gt;=3,10,0)))</f>
        <v>10</v>
      </c>
      <c r="AK5" s="12">
        <f>IF(AF5&lt;1,0,IF(AND(AF5&gt;=1,AF5&lt;1.3),3,IF(AF5&gt;=1.3,6,0)))</f>
        <v>6</v>
      </c>
      <c r="AL5" s="14">
        <f>AG5 + AH5 + AI5 + AJ5 + AK5</f>
        <v>26</v>
      </c>
      <c r="AM5" s="16" t="str">
        <f>IF(ISBLANK(L5), "", IF(L5 = "Open Bottom Structure", "Passable", IF(L5 = "Other", "Unknown", IF(AL5 &lt; 15, "Passable", IF(AND(AL5 &gt;= 15,AL5 &lt;= 19), "Potential", IF(AL5 &gt; 19, "Barrier", ""))))))</f>
        <v>Barrier</v>
      </c>
      <c r="AN5" s="116" t="s">
        <v>141</v>
      </c>
      <c r="AO5" s="116">
        <v>10</v>
      </c>
      <c r="AP5" s="103" t="s">
        <v>143</v>
      </c>
    </row>
    <row r="6" spans="1:42" s="13" customFormat="1" ht="30" x14ac:dyDescent="0.25">
      <c r="A6" s="117">
        <v>44090</v>
      </c>
      <c r="B6" s="112"/>
      <c r="C6" s="116">
        <v>4605675</v>
      </c>
      <c r="D6" s="116" t="s">
        <v>92</v>
      </c>
      <c r="E6" s="77">
        <v>11</v>
      </c>
      <c r="F6" s="78">
        <v>645225</v>
      </c>
      <c r="G6" s="79">
        <v>5567096</v>
      </c>
      <c r="H6" s="11" t="s">
        <v>103</v>
      </c>
      <c r="I6" s="11" t="s">
        <v>94</v>
      </c>
      <c r="J6" s="104">
        <v>125.9</v>
      </c>
      <c r="K6" s="116"/>
      <c r="L6" s="116" t="s">
        <v>95</v>
      </c>
      <c r="M6" s="116" t="s">
        <v>96</v>
      </c>
      <c r="N6" s="109">
        <v>0.6</v>
      </c>
      <c r="O6" s="109">
        <v>10.5</v>
      </c>
      <c r="P6" s="116" t="s">
        <v>97</v>
      </c>
      <c r="Q6" s="121"/>
      <c r="R6" s="116" t="s">
        <v>97</v>
      </c>
      <c r="S6" s="116" t="s">
        <v>97</v>
      </c>
      <c r="T6" s="121"/>
      <c r="U6" s="116">
        <v>0.5</v>
      </c>
      <c r="V6" s="116">
        <v>0</v>
      </c>
      <c r="W6" s="116">
        <v>0.05</v>
      </c>
      <c r="X6" s="116" t="s">
        <v>97</v>
      </c>
      <c r="Y6" s="116">
        <v>2.5</v>
      </c>
      <c r="Z6" s="116">
        <v>2</v>
      </c>
      <c r="AA6" s="116">
        <v>0.5</v>
      </c>
      <c r="AB6" s="115" t="s">
        <v>97</v>
      </c>
      <c r="AC6" s="115" t="s">
        <v>97</v>
      </c>
      <c r="AD6" s="116" t="s">
        <v>99</v>
      </c>
      <c r="AE6" s="116" t="s">
        <v>100</v>
      </c>
      <c r="AF6" s="22">
        <f t="shared" ref="AF6:AF11" si="0">IF(ISBLANK(Z6), 0, IF(ISBLANK(N6) &lt; 0, 0,Z6 / N6))</f>
        <v>3.3333333333333335</v>
      </c>
      <c r="AG6" s="15">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21</v>
      </c>
      <c r="AM6" s="16" t="str">
        <f t="shared" ref="AM6:AM67" si="7">IF(ISBLANK(L6), "", IF(L6 = "Open Bottom Structure", "Passable", IF(L6 = "Other", "Unknown", IF(AL6 &lt; 15, "Passable", IF(AND(AL6 &gt;= 15,AL6 &lt;= 19), "Potential", IF(AL6 &gt; 19, "Barrier", ""))))))</f>
        <v>Barrier</v>
      </c>
      <c r="AN6" s="116" t="s">
        <v>141</v>
      </c>
      <c r="AO6" s="116">
        <v>10</v>
      </c>
      <c r="AP6" s="103" t="s">
        <v>144</v>
      </c>
    </row>
    <row r="7" spans="1:42" s="13" customFormat="1" ht="30" x14ac:dyDescent="0.25">
      <c r="A7" s="117">
        <v>44090</v>
      </c>
      <c r="B7" s="112"/>
      <c r="C7" s="116">
        <v>4605705</v>
      </c>
      <c r="D7" s="116" t="s">
        <v>92</v>
      </c>
      <c r="E7" s="77">
        <v>11</v>
      </c>
      <c r="F7" s="78">
        <v>643733</v>
      </c>
      <c r="G7" s="79">
        <v>5560586</v>
      </c>
      <c r="H7" s="11" t="s">
        <v>103</v>
      </c>
      <c r="I7" s="11" t="s">
        <v>94</v>
      </c>
      <c r="J7" s="104">
        <v>119.1</v>
      </c>
      <c r="K7" s="116" t="s">
        <v>216</v>
      </c>
      <c r="L7" s="116" t="s">
        <v>95</v>
      </c>
      <c r="M7" s="116" t="s">
        <v>96</v>
      </c>
      <c r="N7" s="114">
        <v>0.35</v>
      </c>
      <c r="O7" s="114">
        <v>15</v>
      </c>
      <c r="P7" s="116" t="s">
        <v>97</v>
      </c>
      <c r="Q7" s="121"/>
      <c r="R7" s="116" t="s">
        <v>97</v>
      </c>
      <c r="S7" s="116" t="s">
        <v>97</v>
      </c>
      <c r="T7" s="121"/>
      <c r="U7" s="116">
        <v>1.2</v>
      </c>
      <c r="V7" s="116">
        <v>2.15</v>
      </c>
      <c r="W7" s="116">
        <v>0.4</v>
      </c>
      <c r="X7" s="116" t="s">
        <v>97</v>
      </c>
      <c r="Y7" s="116">
        <v>2.5</v>
      </c>
      <c r="Z7" s="116">
        <v>1</v>
      </c>
      <c r="AA7" s="116">
        <v>0.5</v>
      </c>
      <c r="AB7" s="115" t="s">
        <v>97</v>
      </c>
      <c r="AC7" s="115" t="s">
        <v>97</v>
      </c>
      <c r="AD7" s="116" t="s">
        <v>99</v>
      </c>
      <c r="AE7" s="116" t="s">
        <v>101</v>
      </c>
      <c r="AF7" s="22">
        <f t="shared" si="0"/>
        <v>2.8571428571428572</v>
      </c>
      <c r="AG7" s="15">
        <f t="shared" si="1"/>
        <v>3</v>
      </c>
      <c r="AH7" s="7">
        <f t="shared" si="2"/>
        <v>10</v>
      </c>
      <c r="AI7" s="7">
        <f t="shared" si="3"/>
        <v>10</v>
      </c>
      <c r="AJ7" s="7">
        <f t="shared" si="4"/>
        <v>5</v>
      </c>
      <c r="AK7" s="12">
        <f t="shared" si="5"/>
        <v>6</v>
      </c>
      <c r="AL7" s="14">
        <f t="shared" si="6"/>
        <v>34</v>
      </c>
      <c r="AM7" s="16" t="str">
        <f t="shared" si="7"/>
        <v>Barrier</v>
      </c>
      <c r="AN7" s="116" t="s">
        <v>229</v>
      </c>
      <c r="AO7" s="116">
        <v>2</v>
      </c>
      <c r="AP7" s="116" t="s">
        <v>145</v>
      </c>
    </row>
    <row r="8" spans="1:42" s="13" customFormat="1" x14ac:dyDescent="0.25">
      <c r="A8" s="117">
        <v>44090</v>
      </c>
      <c r="B8" s="110"/>
      <c r="C8" s="116">
        <v>4605708</v>
      </c>
      <c r="D8" s="116" t="s">
        <v>92</v>
      </c>
      <c r="E8" s="77">
        <v>11</v>
      </c>
      <c r="F8" s="78">
        <v>643611</v>
      </c>
      <c r="G8" s="79">
        <v>5559835</v>
      </c>
      <c r="H8" s="116" t="s">
        <v>102</v>
      </c>
      <c r="I8" s="77" t="s">
        <v>94</v>
      </c>
      <c r="J8" s="105"/>
      <c r="K8" s="108" t="s">
        <v>224</v>
      </c>
      <c r="L8" s="116" t="s">
        <v>95</v>
      </c>
      <c r="M8" s="116" t="s">
        <v>96</v>
      </c>
      <c r="N8" s="114">
        <v>0.6</v>
      </c>
      <c r="O8" s="114">
        <v>10</v>
      </c>
      <c r="P8" s="116" t="s">
        <v>98</v>
      </c>
      <c r="Q8" s="116">
        <v>0.1</v>
      </c>
      <c r="R8" s="116" t="s">
        <v>98</v>
      </c>
      <c r="S8" s="116" t="s">
        <v>97</v>
      </c>
      <c r="T8" s="121"/>
      <c r="U8" s="116">
        <v>0.5</v>
      </c>
      <c r="V8" s="116">
        <v>0</v>
      </c>
      <c r="W8" s="116">
        <v>0</v>
      </c>
      <c r="X8" s="116" t="s">
        <v>97</v>
      </c>
      <c r="Y8" s="116">
        <v>1.5</v>
      </c>
      <c r="Z8" s="116">
        <v>1.1000000000000001</v>
      </c>
      <c r="AA8" s="116">
        <v>3.5</v>
      </c>
      <c r="AB8" s="115" t="s">
        <v>97</v>
      </c>
      <c r="AC8" s="115" t="s">
        <v>97</v>
      </c>
      <c r="AD8" s="116" t="s">
        <v>99</v>
      </c>
      <c r="AE8" s="116" t="s">
        <v>101</v>
      </c>
      <c r="AF8" s="22">
        <f t="shared" si="0"/>
        <v>1.8333333333333335</v>
      </c>
      <c r="AG8" s="15">
        <f t="shared" si="1"/>
        <v>0</v>
      </c>
      <c r="AH8" s="7">
        <f t="shared" si="2"/>
        <v>5</v>
      </c>
      <c r="AI8" s="7">
        <f t="shared" si="3"/>
        <v>0</v>
      </c>
      <c r="AJ8" s="7">
        <f t="shared" si="4"/>
        <v>5</v>
      </c>
      <c r="AK8" s="12">
        <f t="shared" si="5"/>
        <v>6</v>
      </c>
      <c r="AL8" s="14">
        <f t="shared" si="6"/>
        <v>16</v>
      </c>
      <c r="AM8" s="16" t="str">
        <f t="shared" si="7"/>
        <v>Potential</v>
      </c>
      <c r="AN8" s="116" t="s">
        <v>229</v>
      </c>
      <c r="AO8" s="116">
        <v>2</v>
      </c>
      <c r="AP8" s="116" t="s">
        <v>146</v>
      </c>
    </row>
    <row r="9" spans="1:42" ht="30" x14ac:dyDescent="0.25">
      <c r="A9" s="117">
        <v>44090</v>
      </c>
      <c r="B9" s="111"/>
      <c r="C9" s="116">
        <v>4606835</v>
      </c>
      <c r="D9" s="116" t="s">
        <v>92</v>
      </c>
      <c r="E9" s="77">
        <v>11</v>
      </c>
      <c r="F9" s="78">
        <v>644829</v>
      </c>
      <c r="G9" s="79">
        <v>5559116</v>
      </c>
      <c r="H9" s="11" t="s">
        <v>93</v>
      </c>
      <c r="I9" s="77" t="s">
        <v>309</v>
      </c>
      <c r="J9" s="104"/>
      <c r="K9" s="108" t="s">
        <v>225</v>
      </c>
      <c r="L9" s="116" t="s">
        <v>95</v>
      </c>
      <c r="M9" s="115" t="s">
        <v>96</v>
      </c>
      <c r="N9" s="113">
        <v>0.4</v>
      </c>
      <c r="O9" s="113">
        <v>10</v>
      </c>
      <c r="P9" s="116" t="s">
        <v>97</v>
      </c>
      <c r="Q9" s="121"/>
      <c r="R9" s="116" t="s">
        <v>97</v>
      </c>
      <c r="S9" s="116" t="s">
        <v>97</v>
      </c>
      <c r="T9" s="121"/>
      <c r="U9" s="116">
        <v>1</v>
      </c>
      <c r="V9" s="116">
        <v>0.3</v>
      </c>
      <c r="W9" s="116">
        <v>0</v>
      </c>
      <c r="X9" s="116" t="s">
        <v>97</v>
      </c>
      <c r="Y9" s="116">
        <v>2.5</v>
      </c>
      <c r="Z9" s="116">
        <v>1</v>
      </c>
      <c r="AA9" s="116">
        <v>3</v>
      </c>
      <c r="AB9" s="115" t="s">
        <v>97</v>
      </c>
      <c r="AC9" s="115" t="s">
        <v>97</v>
      </c>
      <c r="AD9" s="116" t="s">
        <v>99</v>
      </c>
      <c r="AE9" s="116" t="s">
        <v>101</v>
      </c>
      <c r="AF9" s="22">
        <f t="shared" si="0"/>
        <v>2.5</v>
      </c>
      <c r="AG9" s="15">
        <f t="shared" si="1"/>
        <v>0</v>
      </c>
      <c r="AH9" s="7">
        <f t="shared" si="2"/>
        <v>10</v>
      </c>
      <c r="AI9" s="7">
        <f t="shared" si="3"/>
        <v>10</v>
      </c>
      <c r="AJ9" s="7">
        <f t="shared" si="4"/>
        <v>5</v>
      </c>
      <c r="AK9" s="12">
        <f t="shared" si="5"/>
        <v>6</v>
      </c>
      <c r="AL9" s="14">
        <f t="shared" si="6"/>
        <v>31</v>
      </c>
      <c r="AM9" s="16" t="str">
        <f t="shared" si="7"/>
        <v>Barrier</v>
      </c>
      <c r="AN9" s="116" t="s">
        <v>229</v>
      </c>
      <c r="AO9" s="116">
        <v>2</v>
      </c>
      <c r="AP9" s="116" t="s">
        <v>147</v>
      </c>
    </row>
    <row r="10" spans="1:42" x14ac:dyDescent="0.25">
      <c r="A10" s="117">
        <v>44090</v>
      </c>
      <c r="B10" s="111"/>
      <c r="C10" s="116">
        <v>4606669</v>
      </c>
      <c r="D10" s="116" t="s">
        <v>92</v>
      </c>
      <c r="E10" s="77">
        <v>11</v>
      </c>
      <c r="F10" s="78">
        <v>646462</v>
      </c>
      <c r="G10" s="79">
        <v>5554360</v>
      </c>
      <c r="H10" s="103" t="s">
        <v>93</v>
      </c>
      <c r="I10" s="77" t="s">
        <v>309</v>
      </c>
      <c r="J10" s="104"/>
      <c r="K10" s="116" t="s">
        <v>226</v>
      </c>
      <c r="L10" s="116" t="s">
        <v>95</v>
      </c>
      <c r="M10" s="116" t="s">
        <v>96</v>
      </c>
      <c r="N10" s="114">
        <v>0.4</v>
      </c>
      <c r="O10" s="114">
        <v>10</v>
      </c>
      <c r="P10" s="116" t="s">
        <v>97</v>
      </c>
      <c r="Q10" s="122"/>
      <c r="R10" s="116" t="s">
        <v>97</v>
      </c>
      <c r="S10" s="116" t="s">
        <v>97</v>
      </c>
      <c r="T10" s="122"/>
      <c r="U10" s="114">
        <v>1</v>
      </c>
      <c r="V10" s="116">
        <v>0</v>
      </c>
      <c r="W10" s="114">
        <v>0</v>
      </c>
      <c r="X10" s="116" t="s">
        <v>97</v>
      </c>
      <c r="Y10" s="114">
        <v>2</v>
      </c>
      <c r="Z10" s="114">
        <v>1</v>
      </c>
      <c r="AA10" s="116">
        <v>0.5</v>
      </c>
      <c r="AB10" s="116" t="s">
        <v>97</v>
      </c>
      <c r="AC10" s="116" t="s">
        <v>97</v>
      </c>
      <c r="AD10" s="116" t="s">
        <v>99</v>
      </c>
      <c r="AE10" s="116" t="s">
        <v>101</v>
      </c>
      <c r="AF10" s="22">
        <f t="shared" si="0"/>
        <v>2.5</v>
      </c>
      <c r="AG10" s="15">
        <f t="shared" si="1"/>
        <v>0</v>
      </c>
      <c r="AH10" s="7">
        <f t="shared" si="2"/>
        <v>10</v>
      </c>
      <c r="AI10" s="7">
        <f t="shared" si="3"/>
        <v>0</v>
      </c>
      <c r="AJ10" s="7">
        <f t="shared" si="4"/>
        <v>5</v>
      </c>
      <c r="AK10" s="12">
        <f t="shared" si="5"/>
        <v>6</v>
      </c>
      <c r="AL10" s="14">
        <f t="shared" si="6"/>
        <v>21</v>
      </c>
      <c r="AM10" s="16" t="str">
        <f t="shared" si="7"/>
        <v>Barrier</v>
      </c>
      <c r="AN10" s="115" t="s">
        <v>142</v>
      </c>
      <c r="AO10" s="122"/>
      <c r="AP10" s="116" t="s">
        <v>148</v>
      </c>
    </row>
    <row r="11" spans="1:42" x14ac:dyDescent="0.25">
      <c r="A11" s="117">
        <v>44090</v>
      </c>
      <c r="B11" s="111"/>
      <c r="C11" s="103">
        <v>4605733</v>
      </c>
      <c r="D11" s="115" t="s">
        <v>92</v>
      </c>
      <c r="E11" s="115">
        <v>11</v>
      </c>
      <c r="F11" s="107">
        <v>647191</v>
      </c>
      <c r="G11" s="106">
        <v>5552693</v>
      </c>
      <c r="H11" s="103" t="s">
        <v>103</v>
      </c>
      <c r="I11" s="77" t="s">
        <v>94</v>
      </c>
      <c r="J11" s="104"/>
      <c r="K11" s="115" t="s">
        <v>224</v>
      </c>
      <c r="L11" s="116" t="s">
        <v>95</v>
      </c>
      <c r="M11" s="116" t="s">
        <v>96</v>
      </c>
      <c r="N11" s="113">
        <v>1.2</v>
      </c>
      <c r="O11" s="113">
        <v>9.5</v>
      </c>
      <c r="P11" s="115" t="s">
        <v>97</v>
      </c>
      <c r="Q11" s="123"/>
      <c r="R11" s="115" t="s">
        <v>97</v>
      </c>
      <c r="S11" s="115" t="s">
        <v>97</v>
      </c>
      <c r="T11" s="123"/>
      <c r="U11" s="113">
        <v>1</v>
      </c>
      <c r="V11" s="115">
        <v>0.3</v>
      </c>
      <c r="W11" s="113">
        <v>0.6</v>
      </c>
      <c r="X11" s="115" t="s">
        <v>97</v>
      </c>
      <c r="Y11" s="113">
        <v>1</v>
      </c>
      <c r="Z11" s="113">
        <v>3.1</v>
      </c>
      <c r="AA11" s="115">
        <v>2</v>
      </c>
      <c r="AB11" s="115" t="s">
        <v>97</v>
      </c>
      <c r="AC11" s="115" t="s">
        <v>97</v>
      </c>
      <c r="AD11" s="115" t="s">
        <v>99</v>
      </c>
      <c r="AE11" s="115" t="s">
        <v>101</v>
      </c>
      <c r="AF11" s="22">
        <f t="shared" si="0"/>
        <v>2.5833333333333335</v>
      </c>
      <c r="AG11" s="15">
        <f t="shared" si="1"/>
        <v>0</v>
      </c>
      <c r="AH11" s="7">
        <f t="shared" si="2"/>
        <v>10</v>
      </c>
      <c r="AI11" s="7">
        <f t="shared" si="3"/>
        <v>10</v>
      </c>
      <c r="AJ11" s="7">
        <f>IF(Y11&lt;1,0,IF(AND(Y11&gt;=1,Y11&lt;3),5,IF(Y11&gt;=3,10,0)))</f>
        <v>5</v>
      </c>
      <c r="AK11" s="12">
        <f t="shared" si="5"/>
        <v>6</v>
      </c>
      <c r="AL11" s="14">
        <f t="shared" si="6"/>
        <v>31</v>
      </c>
      <c r="AM11" s="16" t="str">
        <f t="shared" si="7"/>
        <v>Barrier</v>
      </c>
      <c r="AN11" s="115" t="s">
        <v>141</v>
      </c>
      <c r="AO11" s="116">
        <v>10</v>
      </c>
      <c r="AP11" s="116" t="s">
        <v>149</v>
      </c>
    </row>
    <row r="12" spans="1:42" x14ac:dyDescent="0.25">
      <c r="A12" s="117">
        <v>44090</v>
      </c>
      <c r="B12" s="73"/>
      <c r="C12" s="25">
        <v>4605697</v>
      </c>
      <c r="D12" s="25" t="s">
        <v>92</v>
      </c>
      <c r="E12" s="77">
        <v>11</v>
      </c>
      <c r="F12" s="78">
        <v>648722</v>
      </c>
      <c r="G12" s="79">
        <v>5548198</v>
      </c>
      <c r="H12" s="77" t="s">
        <v>200</v>
      </c>
      <c r="I12" s="77" t="s">
        <v>94</v>
      </c>
      <c r="J12" s="42"/>
      <c r="K12" s="77" t="s">
        <v>224</v>
      </c>
      <c r="L12" s="25" t="s">
        <v>95</v>
      </c>
      <c r="M12" s="25" t="s">
        <v>96</v>
      </c>
      <c r="N12" s="114">
        <v>1.5</v>
      </c>
      <c r="O12" s="114">
        <v>1.8</v>
      </c>
      <c r="P12" s="116" t="s">
        <v>97</v>
      </c>
      <c r="Q12" s="121"/>
      <c r="R12" s="116" t="s">
        <v>97</v>
      </c>
      <c r="S12" s="116" t="s">
        <v>97</v>
      </c>
      <c r="T12" s="122"/>
      <c r="U12" s="114">
        <v>1</v>
      </c>
      <c r="V12" s="116">
        <v>0</v>
      </c>
      <c r="W12" s="114">
        <v>0</v>
      </c>
      <c r="X12" s="116" t="s">
        <v>97</v>
      </c>
      <c r="Y12" s="114">
        <v>5</v>
      </c>
      <c r="Z12" s="114">
        <v>2.5</v>
      </c>
      <c r="AA12" s="116">
        <v>3.5</v>
      </c>
      <c r="AB12" s="25" t="s">
        <v>97</v>
      </c>
      <c r="AC12" s="25" t="s">
        <v>97</v>
      </c>
      <c r="AD12" s="116" t="s">
        <v>99</v>
      </c>
      <c r="AE12" s="116" t="s">
        <v>101</v>
      </c>
      <c r="AF12" s="22">
        <f t="shared" ref="AF12:AF72" si="8">IF(ISBLANK(Z12), 0, IF(ISBLANK(N12) &lt; 0, 0,Z12 / N12))</f>
        <v>1.6666666666666667</v>
      </c>
      <c r="AG12" s="15">
        <f t="shared" si="1"/>
        <v>0</v>
      </c>
      <c r="AH12" s="7">
        <f t="shared" si="2"/>
        <v>10</v>
      </c>
      <c r="AI12" s="7">
        <f t="shared" si="3"/>
        <v>0</v>
      </c>
      <c r="AJ12" s="7">
        <f t="shared" si="4"/>
        <v>10</v>
      </c>
      <c r="AK12" s="12">
        <f t="shared" si="5"/>
        <v>6</v>
      </c>
      <c r="AL12" s="14">
        <f t="shared" ref="AL12:AL70" si="9">AG12 + AH12 + AI12 + AJ12 + AK12</f>
        <v>26</v>
      </c>
      <c r="AM12" s="16" t="str">
        <f t="shared" si="7"/>
        <v>Barrier</v>
      </c>
      <c r="AN12" s="116" t="s">
        <v>141</v>
      </c>
      <c r="AO12" s="114">
        <v>10</v>
      </c>
      <c r="AP12" s="25" t="s">
        <v>150</v>
      </c>
    </row>
    <row r="13" spans="1:42" ht="30" x14ac:dyDescent="0.25">
      <c r="A13" s="117">
        <v>44091</v>
      </c>
      <c r="B13" s="76"/>
      <c r="C13" s="25">
        <v>4600329</v>
      </c>
      <c r="D13" s="25" t="s">
        <v>92</v>
      </c>
      <c r="E13" s="77">
        <v>11</v>
      </c>
      <c r="F13" s="78">
        <v>652325</v>
      </c>
      <c r="G13" s="79">
        <v>5515789</v>
      </c>
      <c r="H13" s="77" t="s">
        <v>201</v>
      </c>
      <c r="I13" s="77" t="s">
        <v>310</v>
      </c>
      <c r="J13" s="80"/>
      <c r="K13" s="77" t="s">
        <v>217</v>
      </c>
      <c r="L13" s="25" t="s">
        <v>95</v>
      </c>
      <c r="M13" s="25" t="s">
        <v>96</v>
      </c>
      <c r="N13" s="114">
        <v>0.6</v>
      </c>
      <c r="O13" s="114">
        <v>12</v>
      </c>
      <c r="P13" s="116" t="s">
        <v>97</v>
      </c>
      <c r="Q13" s="121"/>
      <c r="R13" s="116" t="s">
        <v>98</v>
      </c>
      <c r="S13" s="116" t="s">
        <v>97</v>
      </c>
      <c r="T13" s="121"/>
      <c r="U13" s="114">
        <v>1</v>
      </c>
      <c r="V13" s="116">
        <v>0</v>
      </c>
      <c r="W13" s="114">
        <v>0</v>
      </c>
      <c r="X13" s="116" t="s">
        <v>97</v>
      </c>
      <c r="Y13" s="114">
        <v>1</v>
      </c>
      <c r="Z13" s="114">
        <v>0.5</v>
      </c>
      <c r="AA13" s="116">
        <v>0</v>
      </c>
      <c r="AB13" s="25" t="s">
        <v>97</v>
      </c>
      <c r="AC13" s="25" t="s">
        <v>97</v>
      </c>
      <c r="AD13" s="116" t="s">
        <v>99</v>
      </c>
      <c r="AE13" s="116" t="s">
        <v>101</v>
      </c>
      <c r="AF13" s="22">
        <f t="shared" si="8"/>
        <v>0.83333333333333337</v>
      </c>
      <c r="AG13" s="15">
        <f t="shared" si="1"/>
        <v>0</v>
      </c>
      <c r="AH13" s="7">
        <f t="shared" si="2"/>
        <v>10</v>
      </c>
      <c r="AI13" s="7">
        <f t="shared" si="3"/>
        <v>0</v>
      </c>
      <c r="AJ13" s="7">
        <f t="shared" si="4"/>
        <v>5</v>
      </c>
      <c r="AK13" s="12">
        <f t="shared" si="5"/>
        <v>0</v>
      </c>
      <c r="AL13" s="14">
        <f t="shared" si="9"/>
        <v>15</v>
      </c>
      <c r="AM13" s="16" t="str">
        <f t="shared" si="7"/>
        <v>Potential</v>
      </c>
      <c r="AN13" s="116" t="s">
        <v>229</v>
      </c>
      <c r="AO13" s="114">
        <v>2</v>
      </c>
      <c r="AP13" s="25" t="s">
        <v>151</v>
      </c>
    </row>
    <row r="14" spans="1:42" ht="30" x14ac:dyDescent="0.25">
      <c r="A14" s="117">
        <v>44091</v>
      </c>
      <c r="B14" s="76"/>
      <c r="C14" s="25">
        <v>4600084</v>
      </c>
      <c r="D14" s="25" t="s">
        <v>92</v>
      </c>
      <c r="E14" s="77">
        <v>11</v>
      </c>
      <c r="F14" s="78">
        <v>651532</v>
      </c>
      <c r="G14" s="79">
        <v>5521052</v>
      </c>
      <c r="H14" s="77" t="s">
        <v>202</v>
      </c>
      <c r="I14" s="77" t="s">
        <v>310</v>
      </c>
      <c r="J14" s="80"/>
      <c r="K14" s="77" t="s">
        <v>217</v>
      </c>
      <c r="L14" s="25" t="s">
        <v>95</v>
      </c>
      <c r="M14" s="25" t="s">
        <v>96</v>
      </c>
      <c r="N14" s="114">
        <v>0.6</v>
      </c>
      <c r="O14" s="114">
        <v>22</v>
      </c>
      <c r="P14" s="116" t="s">
        <v>97</v>
      </c>
      <c r="Q14" s="121"/>
      <c r="R14" s="116" t="s">
        <v>97</v>
      </c>
      <c r="S14" s="116" t="s">
        <v>97</v>
      </c>
      <c r="T14" s="121"/>
      <c r="U14" s="114">
        <v>0.8</v>
      </c>
      <c r="V14" s="116">
        <v>0.2</v>
      </c>
      <c r="W14" s="114">
        <v>0.15</v>
      </c>
      <c r="X14" s="116" t="s">
        <v>97</v>
      </c>
      <c r="Y14" s="114">
        <v>3</v>
      </c>
      <c r="Z14" s="114">
        <v>1</v>
      </c>
      <c r="AA14" s="116">
        <v>0.5</v>
      </c>
      <c r="AB14" s="25" t="s">
        <v>97</v>
      </c>
      <c r="AC14" s="25" t="s">
        <v>97</v>
      </c>
      <c r="AD14" s="116" t="s">
        <v>99</v>
      </c>
      <c r="AE14" s="116" t="s">
        <v>101</v>
      </c>
      <c r="AF14" s="22">
        <f t="shared" si="8"/>
        <v>1.6666666666666667</v>
      </c>
      <c r="AG14" s="15">
        <f t="shared" si="1"/>
        <v>3</v>
      </c>
      <c r="AH14" s="7">
        <f t="shared" si="2"/>
        <v>10</v>
      </c>
      <c r="AI14" s="7">
        <f t="shared" si="3"/>
        <v>5</v>
      </c>
      <c r="AJ14" s="7">
        <f t="shared" si="4"/>
        <v>10</v>
      </c>
      <c r="AK14" s="12">
        <f t="shared" si="5"/>
        <v>6</v>
      </c>
      <c r="AL14" s="14">
        <f t="shared" si="9"/>
        <v>34</v>
      </c>
      <c r="AM14" s="16" t="str">
        <f t="shared" si="7"/>
        <v>Barrier</v>
      </c>
      <c r="AN14" s="116" t="s">
        <v>229</v>
      </c>
      <c r="AO14" s="114">
        <v>2</v>
      </c>
      <c r="AP14" s="25" t="s">
        <v>152</v>
      </c>
    </row>
    <row r="15" spans="1:42" x14ac:dyDescent="0.25">
      <c r="A15" s="117">
        <v>44091</v>
      </c>
      <c r="B15" s="76"/>
      <c r="C15" s="25">
        <v>4600040</v>
      </c>
      <c r="D15" s="25" t="s">
        <v>92</v>
      </c>
      <c r="E15" s="77">
        <v>11</v>
      </c>
      <c r="F15" s="78">
        <v>652004</v>
      </c>
      <c r="G15" s="79">
        <v>5522330</v>
      </c>
      <c r="H15" s="77" t="s">
        <v>203</v>
      </c>
      <c r="I15" s="77" t="s">
        <v>104</v>
      </c>
      <c r="J15" s="80"/>
      <c r="K15" s="77" t="s">
        <v>218</v>
      </c>
      <c r="L15" s="25" t="s">
        <v>95</v>
      </c>
      <c r="M15" s="25" t="s">
        <v>96</v>
      </c>
      <c r="N15" s="114">
        <v>0.9</v>
      </c>
      <c r="O15" s="114">
        <v>22</v>
      </c>
      <c r="P15" s="116" t="s">
        <v>98</v>
      </c>
      <c r="Q15" s="116">
        <v>0.3</v>
      </c>
      <c r="R15" s="116" t="s">
        <v>98</v>
      </c>
      <c r="S15" s="116" t="s">
        <v>97</v>
      </c>
      <c r="T15" s="122"/>
      <c r="U15" s="114">
        <v>0.5</v>
      </c>
      <c r="V15" s="116">
        <v>0</v>
      </c>
      <c r="W15" s="114">
        <v>0</v>
      </c>
      <c r="X15" s="116" t="s">
        <v>97</v>
      </c>
      <c r="Y15" s="114">
        <v>2.5</v>
      </c>
      <c r="Z15" s="114">
        <v>5</v>
      </c>
      <c r="AA15" s="116">
        <v>0</v>
      </c>
      <c r="AB15" s="25" t="s">
        <v>97</v>
      </c>
      <c r="AC15" s="25" t="s">
        <v>97</v>
      </c>
      <c r="AD15" s="116" t="s">
        <v>99</v>
      </c>
      <c r="AE15" s="116" t="s">
        <v>100</v>
      </c>
      <c r="AF15" s="22">
        <f t="shared" si="8"/>
        <v>5.5555555555555554</v>
      </c>
      <c r="AG15" s="15">
        <f t="shared" si="1"/>
        <v>3</v>
      </c>
      <c r="AH15" s="7">
        <f t="shared" si="2"/>
        <v>0</v>
      </c>
      <c r="AI15" s="7">
        <f t="shared" si="3"/>
        <v>0</v>
      </c>
      <c r="AJ15" s="7">
        <f t="shared" si="4"/>
        <v>5</v>
      </c>
      <c r="AK15" s="12">
        <f t="shared" si="5"/>
        <v>6</v>
      </c>
      <c r="AL15" s="14">
        <f t="shared" si="9"/>
        <v>14</v>
      </c>
      <c r="AM15" s="16" t="str">
        <f t="shared" si="7"/>
        <v>Passable</v>
      </c>
      <c r="AN15" s="121"/>
      <c r="AO15" s="122"/>
      <c r="AP15" s="25" t="s">
        <v>153</v>
      </c>
    </row>
    <row r="16" spans="1:42" x14ac:dyDescent="0.25">
      <c r="A16" s="117">
        <v>44091</v>
      </c>
      <c r="B16" s="76"/>
      <c r="C16" s="25">
        <v>4600037</v>
      </c>
      <c r="D16" s="25" t="s">
        <v>92</v>
      </c>
      <c r="E16" s="77">
        <v>11</v>
      </c>
      <c r="F16" s="78">
        <v>651867</v>
      </c>
      <c r="G16" s="79">
        <v>5522741</v>
      </c>
      <c r="H16" s="77" t="s">
        <v>203</v>
      </c>
      <c r="I16" s="77" t="s">
        <v>105</v>
      </c>
      <c r="J16" s="80"/>
      <c r="K16" s="77" t="s">
        <v>308</v>
      </c>
      <c r="L16" s="25" t="s">
        <v>95</v>
      </c>
      <c r="M16" s="25" t="s">
        <v>96</v>
      </c>
      <c r="N16" s="114">
        <v>0.75</v>
      </c>
      <c r="O16" s="114">
        <v>6</v>
      </c>
      <c r="P16" s="116" t="s">
        <v>98</v>
      </c>
      <c r="Q16" s="116">
        <v>0.1</v>
      </c>
      <c r="R16" s="116" t="s">
        <v>98</v>
      </c>
      <c r="S16" s="116" t="s">
        <v>97</v>
      </c>
      <c r="T16" s="122"/>
      <c r="U16" s="114">
        <v>0.3</v>
      </c>
      <c r="V16" s="116">
        <v>0</v>
      </c>
      <c r="W16" s="114">
        <v>0</v>
      </c>
      <c r="X16" s="116" t="s">
        <v>97</v>
      </c>
      <c r="Y16" s="114">
        <v>2</v>
      </c>
      <c r="Z16" s="114">
        <v>2.5</v>
      </c>
      <c r="AA16" s="116">
        <v>1.5</v>
      </c>
      <c r="AB16" s="25" t="s">
        <v>97</v>
      </c>
      <c r="AC16" s="25" t="s">
        <v>97</v>
      </c>
      <c r="AD16" s="116" t="s">
        <v>99</v>
      </c>
      <c r="AE16" s="116" t="s">
        <v>100</v>
      </c>
      <c r="AF16" s="22">
        <f t="shared" si="8"/>
        <v>3.3333333333333335</v>
      </c>
      <c r="AG16" s="15">
        <f t="shared" si="1"/>
        <v>0</v>
      </c>
      <c r="AH16" s="7">
        <f t="shared" si="2"/>
        <v>5</v>
      </c>
      <c r="AI16" s="7">
        <f t="shared" si="3"/>
        <v>0</v>
      </c>
      <c r="AJ16" s="7">
        <f t="shared" si="4"/>
        <v>5</v>
      </c>
      <c r="AK16" s="12">
        <f t="shared" si="5"/>
        <v>6</v>
      </c>
      <c r="AL16" s="14">
        <f t="shared" si="9"/>
        <v>16</v>
      </c>
      <c r="AM16" s="16" t="str">
        <f t="shared" si="7"/>
        <v>Potential</v>
      </c>
      <c r="AN16" s="116" t="s">
        <v>141</v>
      </c>
      <c r="AO16" s="114">
        <v>10</v>
      </c>
      <c r="AP16" s="25" t="s">
        <v>154</v>
      </c>
    </row>
    <row r="17" spans="1:42" x14ac:dyDescent="0.25">
      <c r="A17" s="117">
        <v>44091</v>
      </c>
      <c r="B17" s="76"/>
      <c r="C17" s="25">
        <v>4600038</v>
      </c>
      <c r="D17" s="25" t="s">
        <v>92</v>
      </c>
      <c r="E17" s="77">
        <v>11</v>
      </c>
      <c r="F17" s="78">
        <v>651917</v>
      </c>
      <c r="G17" s="79">
        <v>5522888</v>
      </c>
      <c r="H17" s="77" t="s">
        <v>203</v>
      </c>
      <c r="I17" s="77" t="s">
        <v>105</v>
      </c>
      <c r="J17" s="80"/>
      <c r="K17" s="77" t="s">
        <v>308</v>
      </c>
      <c r="L17" s="25" t="s">
        <v>95</v>
      </c>
      <c r="M17" s="25" t="s">
        <v>96</v>
      </c>
      <c r="N17" s="114">
        <v>0.75</v>
      </c>
      <c r="O17" s="114">
        <v>12.5</v>
      </c>
      <c r="P17" s="116" t="s">
        <v>98</v>
      </c>
      <c r="Q17" s="114">
        <v>0.18</v>
      </c>
      <c r="R17" s="116" t="s">
        <v>98</v>
      </c>
      <c r="S17" s="116" t="s">
        <v>97</v>
      </c>
      <c r="T17" s="121"/>
      <c r="U17" s="114">
        <v>0.3</v>
      </c>
      <c r="V17" s="116">
        <v>0</v>
      </c>
      <c r="W17" s="114">
        <v>0</v>
      </c>
      <c r="X17" s="116" t="s">
        <v>98</v>
      </c>
      <c r="Y17" s="114">
        <v>2</v>
      </c>
      <c r="Z17" s="114">
        <v>1.2</v>
      </c>
      <c r="AA17" s="116">
        <v>1.5</v>
      </c>
      <c r="AB17" s="25" t="s">
        <v>97</v>
      </c>
      <c r="AC17" s="25" t="s">
        <v>97</v>
      </c>
      <c r="AD17" s="116" t="s">
        <v>99</v>
      </c>
      <c r="AE17" s="116" t="s">
        <v>100</v>
      </c>
      <c r="AF17" s="22">
        <f t="shared" si="8"/>
        <v>1.5999999999999999</v>
      </c>
      <c r="AG17" s="15">
        <f t="shared" si="1"/>
        <v>0</v>
      </c>
      <c r="AH17" s="7">
        <f t="shared" si="2"/>
        <v>5</v>
      </c>
      <c r="AI17" s="7">
        <f t="shared" si="3"/>
        <v>0</v>
      </c>
      <c r="AJ17" s="7">
        <f t="shared" si="4"/>
        <v>5</v>
      </c>
      <c r="AK17" s="12">
        <f t="shared" si="5"/>
        <v>6</v>
      </c>
      <c r="AL17" s="14">
        <f t="shared" si="9"/>
        <v>16</v>
      </c>
      <c r="AM17" s="16" t="str">
        <f t="shared" si="7"/>
        <v>Potential</v>
      </c>
      <c r="AN17" s="116" t="s">
        <v>229</v>
      </c>
      <c r="AO17" s="114">
        <v>2</v>
      </c>
      <c r="AP17" s="25" t="s">
        <v>155</v>
      </c>
    </row>
    <row r="18" spans="1:42" x14ac:dyDescent="0.25">
      <c r="A18" s="117">
        <v>44091</v>
      </c>
      <c r="B18" s="76"/>
      <c r="C18" s="25">
        <v>4600183</v>
      </c>
      <c r="D18" s="25" t="s">
        <v>92</v>
      </c>
      <c r="E18" s="77">
        <v>11</v>
      </c>
      <c r="F18" s="78">
        <v>651626</v>
      </c>
      <c r="G18" s="79">
        <v>5528888</v>
      </c>
      <c r="H18" s="77" t="s">
        <v>204</v>
      </c>
      <c r="I18" s="77" t="s">
        <v>107</v>
      </c>
      <c r="J18" s="80"/>
      <c r="K18" s="77" t="s">
        <v>218</v>
      </c>
      <c r="L18" s="25" t="s">
        <v>95</v>
      </c>
      <c r="M18" s="25" t="s">
        <v>108</v>
      </c>
      <c r="N18" s="114">
        <v>3.3</v>
      </c>
      <c r="O18" s="114">
        <v>20</v>
      </c>
      <c r="P18" s="116" t="s">
        <v>97</v>
      </c>
      <c r="Q18" s="121"/>
      <c r="R18" s="116" t="s">
        <v>97</v>
      </c>
      <c r="S18" s="116" t="s">
        <v>97</v>
      </c>
      <c r="T18" s="122"/>
      <c r="U18" s="114">
        <v>1</v>
      </c>
      <c r="V18" s="116">
        <v>0.7</v>
      </c>
      <c r="W18" s="114">
        <v>1.5</v>
      </c>
      <c r="X18" s="116" t="s">
        <v>98</v>
      </c>
      <c r="Y18" s="114">
        <v>4</v>
      </c>
      <c r="Z18" s="114">
        <v>7.1</v>
      </c>
      <c r="AA18" s="116">
        <v>2</v>
      </c>
      <c r="AB18" s="25" t="s">
        <v>97</v>
      </c>
      <c r="AC18" s="25" t="s">
        <v>97</v>
      </c>
      <c r="AD18" s="116" t="s">
        <v>99</v>
      </c>
      <c r="AE18" s="116" t="s">
        <v>109</v>
      </c>
      <c r="AF18" s="22">
        <f t="shared" si="8"/>
        <v>2.1515151515151514</v>
      </c>
      <c r="AG18" s="15">
        <f t="shared" si="1"/>
        <v>3</v>
      </c>
      <c r="AH18" s="7">
        <f t="shared" si="2"/>
        <v>10</v>
      </c>
      <c r="AI18" s="7">
        <f t="shared" si="3"/>
        <v>10</v>
      </c>
      <c r="AJ18" s="7">
        <f t="shared" si="4"/>
        <v>10</v>
      </c>
      <c r="AK18" s="12">
        <f t="shared" si="5"/>
        <v>6</v>
      </c>
      <c r="AL18" s="14">
        <f t="shared" si="9"/>
        <v>39</v>
      </c>
      <c r="AM18" s="16" t="str">
        <f t="shared" si="7"/>
        <v>Barrier</v>
      </c>
      <c r="AN18" s="116" t="s">
        <v>141</v>
      </c>
      <c r="AO18" s="114">
        <v>14.2</v>
      </c>
      <c r="AP18" s="25" t="s">
        <v>156</v>
      </c>
    </row>
    <row r="19" spans="1:42" ht="30" x14ac:dyDescent="0.25">
      <c r="A19" s="117">
        <v>44091</v>
      </c>
      <c r="B19" s="76"/>
      <c r="C19" s="25">
        <v>4600069</v>
      </c>
      <c r="D19" s="25" t="s">
        <v>92</v>
      </c>
      <c r="E19" s="77">
        <v>11</v>
      </c>
      <c r="F19" s="78">
        <v>650144</v>
      </c>
      <c r="G19" s="79">
        <v>5532055</v>
      </c>
      <c r="H19" s="77" t="s">
        <v>205</v>
      </c>
      <c r="I19" s="77" t="s">
        <v>110</v>
      </c>
      <c r="J19" s="42"/>
      <c r="K19" s="77" t="s">
        <v>219</v>
      </c>
      <c r="L19" s="25" t="s">
        <v>95</v>
      </c>
      <c r="M19" s="25" t="s">
        <v>96</v>
      </c>
      <c r="N19" s="114">
        <v>3.2</v>
      </c>
      <c r="O19" s="114">
        <v>18.2</v>
      </c>
      <c r="P19" s="116" t="s">
        <v>97</v>
      </c>
      <c r="Q19" s="121"/>
      <c r="R19" s="116" t="s">
        <v>97</v>
      </c>
      <c r="S19" s="116" t="s">
        <v>97</v>
      </c>
      <c r="T19" s="122"/>
      <c r="U19" s="114">
        <v>1.3</v>
      </c>
      <c r="V19" s="116">
        <v>0.15</v>
      </c>
      <c r="W19" s="114">
        <v>0.6</v>
      </c>
      <c r="X19" s="116" t="s">
        <v>98</v>
      </c>
      <c r="Y19" s="114">
        <v>3.4</v>
      </c>
      <c r="Z19" s="114">
        <v>4.3</v>
      </c>
      <c r="AA19" s="116">
        <v>2</v>
      </c>
      <c r="AB19" s="25" t="s">
        <v>97</v>
      </c>
      <c r="AC19" s="25" t="s">
        <v>97</v>
      </c>
      <c r="AD19" s="116" t="s">
        <v>99</v>
      </c>
      <c r="AE19" s="116" t="s">
        <v>109</v>
      </c>
      <c r="AF19" s="22">
        <f t="shared" si="8"/>
        <v>1.3437499999999998</v>
      </c>
      <c r="AG19" s="15">
        <f t="shared" si="1"/>
        <v>3</v>
      </c>
      <c r="AH19" s="7">
        <f t="shared" si="2"/>
        <v>10</v>
      </c>
      <c r="AI19" s="7">
        <f t="shared" si="3"/>
        <v>5</v>
      </c>
      <c r="AJ19" s="7">
        <f t="shared" si="4"/>
        <v>10</v>
      </c>
      <c r="AK19" s="12">
        <f t="shared" si="5"/>
        <v>6</v>
      </c>
      <c r="AL19" s="14">
        <f t="shared" si="9"/>
        <v>34</v>
      </c>
      <c r="AM19" s="16" t="str">
        <f t="shared" si="7"/>
        <v>Barrier</v>
      </c>
      <c r="AN19" s="116" t="s">
        <v>141</v>
      </c>
      <c r="AO19" s="114">
        <v>10</v>
      </c>
      <c r="AP19" s="25" t="s">
        <v>243</v>
      </c>
    </row>
    <row r="20" spans="1:42" x14ac:dyDescent="0.25">
      <c r="A20" s="117">
        <v>44092</v>
      </c>
      <c r="B20" s="76"/>
      <c r="C20" s="25">
        <v>4601205</v>
      </c>
      <c r="D20" s="25" t="s">
        <v>92</v>
      </c>
      <c r="E20" s="77">
        <v>11</v>
      </c>
      <c r="F20" s="78">
        <v>650917</v>
      </c>
      <c r="G20" s="79">
        <v>5528513</v>
      </c>
      <c r="H20" s="25" t="s">
        <v>204</v>
      </c>
      <c r="I20" s="77" t="s">
        <v>106</v>
      </c>
      <c r="J20" s="42"/>
      <c r="K20" s="77" t="s">
        <v>308</v>
      </c>
      <c r="L20" s="25" t="s">
        <v>111</v>
      </c>
      <c r="M20" s="25" t="s">
        <v>112</v>
      </c>
      <c r="N20" s="122"/>
      <c r="O20" s="122"/>
      <c r="P20" s="121"/>
      <c r="Q20" s="121"/>
      <c r="R20" s="121"/>
      <c r="S20" s="121"/>
      <c r="T20" s="121"/>
      <c r="U20" s="121"/>
      <c r="V20" s="121"/>
      <c r="W20" s="121"/>
      <c r="X20" s="121"/>
      <c r="Y20" s="121"/>
      <c r="Z20" s="121"/>
      <c r="AA20" s="121"/>
      <c r="AB20" s="25" t="s">
        <v>97</v>
      </c>
      <c r="AC20" s="25" t="s">
        <v>97</v>
      </c>
      <c r="AD20" s="121"/>
      <c r="AE20" s="121"/>
      <c r="AF20" s="22">
        <f t="shared" si="8"/>
        <v>0</v>
      </c>
      <c r="AG20" s="15">
        <f t="shared" si="1"/>
        <v>0</v>
      </c>
      <c r="AH20" s="7">
        <f t="shared" si="2"/>
        <v>0</v>
      </c>
      <c r="AI20" s="7">
        <f t="shared" si="3"/>
        <v>0</v>
      </c>
      <c r="AJ20" s="7">
        <f t="shared" si="4"/>
        <v>0</v>
      </c>
      <c r="AK20" s="12">
        <f t="shared" si="5"/>
        <v>0</v>
      </c>
      <c r="AL20" s="14">
        <f t="shared" si="9"/>
        <v>0</v>
      </c>
      <c r="AM20" s="16" t="str">
        <f t="shared" si="7"/>
        <v>Unknown</v>
      </c>
      <c r="AN20" s="125"/>
      <c r="AO20" s="124"/>
      <c r="AP20" s="25" t="s">
        <v>157</v>
      </c>
    </row>
    <row r="21" spans="1:42" x14ac:dyDescent="0.25">
      <c r="A21" s="117">
        <v>44092</v>
      </c>
      <c r="B21" s="76"/>
      <c r="C21" s="25">
        <v>4602276</v>
      </c>
      <c r="D21" s="25" t="s">
        <v>113</v>
      </c>
      <c r="E21" s="25">
        <v>11</v>
      </c>
      <c r="F21" s="75">
        <v>649758</v>
      </c>
      <c r="G21" s="81">
        <v>5527935</v>
      </c>
      <c r="H21" s="25" t="s">
        <v>204</v>
      </c>
      <c r="I21" s="25" t="s">
        <v>114</v>
      </c>
      <c r="J21" s="42"/>
      <c r="K21" s="25" t="s">
        <v>231</v>
      </c>
      <c r="L21" s="25" t="s">
        <v>111</v>
      </c>
      <c r="M21" s="25" t="s">
        <v>112</v>
      </c>
      <c r="N21" s="122"/>
      <c r="O21" s="122"/>
      <c r="P21" s="121"/>
      <c r="Q21" s="122"/>
      <c r="R21" s="121"/>
      <c r="S21" s="121"/>
      <c r="T21" s="122"/>
      <c r="U21" s="122"/>
      <c r="V21" s="121"/>
      <c r="W21" s="122"/>
      <c r="X21" s="121"/>
      <c r="Y21" s="122"/>
      <c r="Z21" s="122"/>
      <c r="AA21" s="121"/>
      <c r="AB21" s="25" t="s">
        <v>97</v>
      </c>
      <c r="AC21" s="25" t="s">
        <v>97</v>
      </c>
      <c r="AD21" s="121"/>
      <c r="AE21" s="121"/>
      <c r="AF21" s="22">
        <f t="shared" si="8"/>
        <v>0</v>
      </c>
      <c r="AG21" s="15">
        <f t="shared" si="1"/>
        <v>0</v>
      </c>
      <c r="AH21" s="7">
        <f t="shared" si="2"/>
        <v>0</v>
      </c>
      <c r="AI21" s="7">
        <f t="shared" si="3"/>
        <v>0</v>
      </c>
      <c r="AJ21" s="7">
        <f t="shared" si="4"/>
        <v>0</v>
      </c>
      <c r="AK21" s="12">
        <f t="shared" si="5"/>
        <v>0</v>
      </c>
      <c r="AL21" s="14">
        <f t="shared" si="9"/>
        <v>0</v>
      </c>
      <c r="AM21" s="16" t="str">
        <f t="shared" si="7"/>
        <v>Unknown</v>
      </c>
      <c r="AN21" s="125"/>
      <c r="AO21" s="124"/>
      <c r="AP21" s="25" t="s">
        <v>158</v>
      </c>
    </row>
    <row r="22" spans="1:42" ht="30" x14ac:dyDescent="0.25">
      <c r="A22" s="117">
        <v>44092</v>
      </c>
      <c r="B22" s="76"/>
      <c r="C22" s="25">
        <v>4600184</v>
      </c>
      <c r="D22" s="25" t="s">
        <v>92</v>
      </c>
      <c r="E22" s="77">
        <v>11</v>
      </c>
      <c r="F22" s="78">
        <v>650954</v>
      </c>
      <c r="G22" s="79">
        <v>5522199</v>
      </c>
      <c r="H22" s="77" t="s">
        <v>206</v>
      </c>
      <c r="I22" s="77" t="s">
        <v>110</v>
      </c>
      <c r="J22" s="80"/>
      <c r="K22" s="77" t="s">
        <v>219</v>
      </c>
      <c r="L22" s="25" t="s">
        <v>95</v>
      </c>
      <c r="M22" s="25" t="s">
        <v>96</v>
      </c>
      <c r="N22" s="114">
        <v>0.6</v>
      </c>
      <c r="O22" s="114">
        <v>30</v>
      </c>
      <c r="P22" s="116" t="s">
        <v>97</v>
      </c>
      <c r="Q22" s="122"/>
      <c r="R22" s="116" t="s">
        <v>97</v>
      </c>
      <c r="S22" s="116" t="s">
        <v>97</v>
      </c>
      <c r="T22" s="122"/>
      <c r="U22" s="114">
        <v>4</v>
      </c>
      <c r="V22" s="116">
        <v>0.65</v>
      </c>
      <c r="W22" s="114">
        <v>0.55000000000000004</v>
      </c>
      <c r="X22" s="116" t="s">
        <v>97</v>
      </c>
      <c r="Y22" s="114">
        <v>8</v>
      </c>
      <c r="Z22" s="114">
        <v>1.6</v>
      </c>
      <c r="AA22" s="116">
        <v>5</v>
      </c>
      <c r="AB22" s="25" t="s">
        <v>97</v>
      </c>
      <c r="AC22" s="25" t="s">
        <v>97</v>
      </c>
      <c r="AD22" s="116" t="s">
        <v>99</v>
      </c>
      <c r="AE22" s="116" t="s">
        <v>100</v>
      </c>
      <c r="AF22" s="22">
        <f t="shared" si="8"/>
        <v>2.666666666666667</v>
      </c>
      <c r="AG22" s="15">
        <f t="shared" si="1"/>
        <v>6</v>
      </c>
      <c r="AH22" s="7">
        <f t="shared" si="2"/>
        <v>10</v>
      </c>
      <c r="AI22" s="7">
        <f t="shared" si="3"/>
        <v>10</v>
      </c>
      <c r="AJ22" s="7">
        <f t="shared" si="4"/>
        <v>10</v>
      </c>
      <c r="AK22" s="12">
        <f t="shared" si="5"/>
        <v>6</v>
      </c>
      <c r="AL22" s="14">
        <f t="shared" si="9"/>
        <v>42</v>
      </c>
      <c r="AM22" s="16" t="str">
        <f t="shared" si="7"/>
        <v>Barrier</v>
      </c>
      <c r="AN22" s="116" t="s">
        <v>229</v>
      </c>
      <c r="AO22" s="114">
        <v>2</v>
      </c>
      <c r="AP22" s="25" t="s">
        <v>159</v>
      </c>
    </row>
    <row r="23" spans="1:42" ht="30" x14ac:dyDescent="0.25">
      <c r="A23" s="117">
        <v>44092</v>
      </c>
      <c r="B23" s="76"/>
      <c r="C23" s="25">
        <v>4600185</v>
      </c>
      <c r="D23" s="25" t="s">
        <v>92</v>
      </c>
      <c r="E23" s="77">
        <v>11</v>
      </c>
      <c r="F23" s="78">
        <v>651002</v>
      </c>
      <c r="G23" s="79">
        <v>5521022</v>
      </c>
      <c r="H23" s="77" t="s">
        <v>202</v>
      </c>
      <c r="I23" s="77" t="s">
        <v>110</v>
      </c>
      <c r="J23" s="80"/>
      <c r="K23" s="77" t="s">
        <v>219</v>
      </c>
      <c r="L23" s="25" t="s">
        <v>95</v>
      </c>
      <c r="M23" s="25" t="s">
        <v>96</v>
      </c>
      <c r="N23" s="114">
        <v>0.9</v>
      </c>
      <c r="O23" s="114">
        <v>40</v>
      </c>
      <c r="P23" s="116" t="s">
        <v>97</v>
      </c>
      <c r="Q23" s="122"/>
      <c r="R23" s="116" t="s">
        <v>97</v>
      </c>
      <c r="S23" s="116" t="s">
        <v>97</v>
      </c>
      <c r="T23" s="122"/>
      <c r="U23" s="114">
        <v>5</v>
      </c>
      <c r="V23" s="116">
        <v>0.3</v>
      </c>
      <c r="W23" s="114">
        <v>0.55000000000000004</v>
      </c>
      <c r="X23" s="116" t="s">
        <v>98</v>
      </c>
      <c r="Y23" s="114">
        <v>5</v>
      </c>
      <c r="Z23" s="114">
        <v>1.2</v>
      </c>
      <c r="AA23" s="116">
        <v>3.5</v>
      </c>
      <c r="AB23" s="25" t="s">
        <v>97</v>
      </c>
      <c r="AC23" s="25" t="s">
        <v>97</v>
      </c>
      <c r="AD23" s="116" t="s">
        <v>99</v>
      </c>
      <c r="AE23" s="116" t="s">
        <v>100</v>
      </c>
      <c r="AF23" s="22">
        <f t="shared" si="8"/>
        <v>1.3333333333333333</v>
      </c>
      <c r="AG23" s="15">
        <f t="shared" si="1"/>
        <v>6</v>
      </c>
      <c r="AH23" s="7">
        <f t="shared" si="2"/>
        <v>10</v>
      </c>
      <c r="AI23" s="7">
        <f t="shared" si="3"/>
        <v>10</v>
      </c>
      <c r="AJ23" s="7">
        <f t="shared" si="4"/>
        <v>10</v>
      </c>
      <c r="AK23" s="12">
        <f t="shared" si="5"/>
        <v>6</v>
      </c>
      <c r="AL23" s="14">
        <f t="shared" si="9"/>
        <v>42</v>
      </c>
      <c r="AM23" s="16" t="str">
        <f t="shared" si="7"/>
        <v>Barrier</v>
      </c>
      <c r="AN23" s="116" t="s">
        <v>229</v>
      </c>
      <c r="AO23" s="114">
        <v>2</v>
      </c>
      <c r="AP23" s="25" t="s">
        <v>160</v>
      </c>
    </row>
    <row r="24" spans="1:42" x14ac:dyDescent="0.25">
      <c r="A24" s="117">
        <v>44092</v>
      </c>
      <c r="B24" s="76"/>
      <c r="C24" s="25">
        <v>2020091801</v>
      </c>
      <c r="D24" s="25" t="s">
        <v>92</v>
      </c>
      <c r="E24" s="77">
        <v>11</v>
      </c>
      <c r="F24" s="78">
        <v>648381</v>
      </c>
      <c r="G24" s="79">
        <v>5499536</v>
      </c>
      <c r="H24" s="77" t="s">
        <v>207</v>
      </c>
      <c r="I24" s="77" t="s">
        <v>115</v>
      </c>
      <c r="J24" s="80"/>
      <c r="K24" s="77" t="s">
        <v>227</v>
      </c>
      <c r="L24" s="25" t="s">
        <v>116</v>
      </c>
      <c r="M24" s="25" t="s">
        <v>117</v>
      </c>
      <c r="N24" s="114">
        <v>4</v>
      </c>
      <c r="O24" s="114">
        <v>18</v>
      </c>
      <c r="P24" s="121"/>
      <c r="Q24" s="122"/>
      <c r="R24" s="121"/>
      <c r="S24" s="121"/>
      <c r="T24" s="122"/>
      <c r="U24" s="122"/>
      <c r="V24" s="121"/>
      <c r="W24" s="122"/>
      <c r="X24" s="121"/>
      <c r="Y24" s="122"/>
      <c r="Z24" s="122"/>
      <c r="AA24" s="121"/>
      <c r="AB24" s="25" t="s">
        <v>97</v>
      </c>
      <c r="AC24" s="25" t="s">
        <v>97</v>
      </c>
      <c r="AD24" s="121"/>
      <c r="AE24" s="121"/>
      <c r="AF24" s="22">
        <f t="shared" si="8"/>
        <v>0</v>
      </c>
      <c r="AG24" s="15">
        <f t="shared" si="1"/>
        <v>3</v>
      </c>
      <c r="AH24" s="7">
        <f t="shared" si="2"/>
        <v>0</v>
      </c>
      <c r="AI24" s="7">
        <f t="shared" si="3"/>
        <v>0</v>
      </c>
      <c r="AJ24" s="7">
        <f t="shared" si="4"/>
        <v>0</v>
      </c>
      <c r="AK24" s="12">
        <f t="shared" si="5"/>
        <v>0</v>
      </c>
      <c r="AL24" s="14">
        <f t="shared" si="9"/>
        <v>3</v>
      </c>
      <c r="AM24" s="16" t="str">
        <f t="shared" si="7"/>
        <v>Passable</v>
      </c>
      <c r="AN24" s="121"/>
      <c r="AO24" s="122"/>
      <c r="AP24" s="25" t="s">
        <v>161</v>
      </c>
    </row>
    <row r="25" spans="1:42" ht="30" x14ac:dyDescent="0.25">
      <c r="A25" s="117">
        <v>44092</v>
      </c>
      <c r="B25" s="76"/>
      <c r="C25" s="25">
        <v>4607023</v>
      </c>
      <c r="D25" s="25" t="s">
        <v>92</v>
      </c>
      <c r="E25" s="77">
        <v>11</v>
      </c>
      <c r="F25" s="78">
        <v>648041</v>
      </c>
      <c r="G25" s="79">
        <v>5499983</v>
      </c>
      <c r="H25" s="77" t="s">
        <v>207</v>
      </c>
      <c r="I25" s="77"/>
      <c r="J25" s="80"/>
      <c r="K25" s="77" t="s">
        <v>228</v>
      </c>
      <c r="L25" s="25" t="s">
        <v>116</v>
      </c>
      <c r="M25" s="25" t="s">
        <v>117</v>
      </c>
      <c r="N25" s="114">
        <v>4</v>
      </c>
      <c r="O25" s="114">
        <v>18</v>
      </c>
      <c r="P25" s="121"/>
      <c r="Q25" s="122"/>
      <c r="R25" s="121"/>
      <c r="S25" s="121"/>
      <c r="T25" s="122"/>
      <c r="U25" s="122"/>
      <c r="V25" s="121"/>
      <c r="W25" s="122"/>
      <c r="X25" s="121"/>
      <c r="Y25" s="122"/>
      <c r="Z25" s="122"/>
      <c r="AA25" s="121"/>
      <c r="AB25" s="25" t="s">
        <v>97</v>
      </c>
      <c r="AC25" s="25" t="s">
        <v>97</v>
      </c>
      <c r="AD25" s="121"/>
      <c r="AE25" s="121"/>
      <c r="AF25" s="22">
        <f t="shared" si="8"/>
        <v>0</v>
      </c>
      <c r="AG25" s="15">
        <f t="shared" si="1"/>
        <v>3</v>
      </c>
      <c r="AH25" s="7">
        <f t="shared" si="2"/>
        <v>0</v>
      </c>
      <c r="AI25" s="7">
        <f t="shared" si="3"/>
        <v>0</v>
      </c>
      <c r="AJ25" s="7">
        <f t="shared" si="4"/>
        <v>0</v>
      </c>
      <c r="AK25" s="12">
        <f t="shared" si="5"/>
        <v>0</v>
      </c>
      <c r="AL25" s="14">
        <f t="shared" si="9"/>
        <v>3</v>
      </c>
      <c r="AM25" s="16" t="str">
        <f t="shared" si="7"/>
        <v>Passable</v>
      </c>
      <c r="AN25" s="121"/>
      <c r="AO25" s="122"/>
      <c r="AP25" s="25" t="s">
        <v>161</v>
      </c>
    </row>
    <row r="26" spans="1:42" ht="30" x14ac:dyDescent="0.25">
      <c r="A26" s="117">
        <v>44092</v>
      </c>
      <c r="B26" s="76"/>
      <c r="C26" s="25">
        <v>4604198</v>
      </c>
      <c r="D26" s="25" t="s">
        <v>92</v>
      </c>
      <c r="E26" s="77">
        <v>11</v>
      </c>
      <c r="F26" s="78">
        <v>647819</v>
      </c>
      <c r="G26" s="79">
        <v>5498551</v>
      </c>
      <c r="H26" s="77" t="s">
        <v>103</v>
      </c>
      <c r="I26" s="77" t="s">
        <v>115</v>
      </c>
      <c r="J26" s="80"/>
      <c r="K26" s="77" t="s">
        <v>227</v>
      </c>
      <c r="L26" s="25" t="s">
        <v>95</v>
      </c>
      <c r="M26" s="25" t="s">
        <v>96</v>
      </c>
      <c r="N26" s="114">
        <v>0.8</v>
      </c>
      <c r="O26" s="114">
        <v>9</v>
      </c>
      <c r="P26" s="116" t="s">
        <v>97</v>
      </c>
      <c r="Q26" s="122"/>
      <c r="R26" s="116" t="s">
        <v>97</v>
      </c>
      <c r="S26" s="116" t="s">
        <v>97</v>
      </c>
      <c r="T26" s="122"/>
      <c r="U26" s="114">
        <v>1</v>
      </c>
      <c r="V26" s="116">
        <v>0.6</v>
      </c>
      <c r="W26" s="114">
        <v>0.3</v>
      </c>
      <c r="X26" s="116" t="s">
        <v>98</v>
      </c>
      <c r="Y26" s="114">
        <v>6</v>
      </c>
      <c r="Z26" s="114">
        <v>2.9</v>
      </c>
      <c r="AA26" s="116">
        <v>19</v>
      </c>
      <c r="AB26" s="25" t="s">
        <v>97</v>
      </c>
      <c r="AC26" s="25" t="s">
        <v>97</v>
      </c>
      <c r="AD26" s="116" t="s">
        <v>99</v>
      </c>
      <c r="AE26" s="116" t="s">
        <v>100</v>
      </c>
      <c r="AF26" s="22">
        <f t="shared" si="8"/>
        <v>3.6249999999999996</v>
      </c>
      <c r="AG26" s="15">
        <f t="shared" si="1"/>
        <v>0</v>
      </c>
      <c r="AH26" s="7">
        <f t="shared" si="2"/>
        <v>10</v>
      </c>
      <c r="AI26" s="7">
        <f t="shared" si="3"/>
        <v>10</v>
      </c>
      <c r="AJ26" s="7">
        <f t="shared" si="4"/>
        <v>10</v>
      </c>
      <c r="AK26" s="12">
        <f t="shared" si="5"/>
        <v>6</v>
      </c>
      <c r="AL26" s="14">
        <f t="shared" si="9"/>
        <v>36</v>
      </c>
      <c r="AM26" s="16" t="str">
        <f t="shared" si="7"/>
        <v>Barrier</v>
      </c>
      <c r="AN26" s="116" t="s">
        <v>141</v>
      </c>
      <c r="AO26" s="114">
        <v>13</v>
      </c>
      <c r="AP26" s="25" t="s">
        <v>162</v>
      </c>
    </row>
    <row r="27" spans="1:42" ht="30" x14ac:dyDescent="0.25">
      <c r="A27" s="117">
        <v>44092</v>
      </c>
      <c r="B27" s="76"/>
      <c r="C27" s="25">
        <v>4600367</v>
      </c>
      <c r="D27" s="25" t="s">
        <v>92</v>
      </c>
      <c r="E27" s="77">
        <v>11</v>
      </c>
      <c r="F27" s="78">
        <v>643534</v>
      </c>
      <c r="G27" s="79">
        <v>5490723</v>
      </c>
      <c r="H27" s="77" t="s">
        <v>208</v>
      </c>
      <c r="I27" s="77" t="s">
        <v>118</v>
      </c>
      <c r="J27" s="80"/>
      <c r="K27" s="77" t="s">
        <v>220</v>
      </c>
      <c r="L27" s="25" t="s">
        <v>95</v>
      </c>
      <c r="M27" s="25" t="s">
        <v>108</v>
      </c>
      <c r="N27" s="114">
        <v>2.6</v>
      </c>
      <c r="O27" s="114">
        <v>20</v>
      </c>
      <c r="P27" s="116" t="s">
        <v>97</v>
      </c>
      <c r="Q27" s="122"/>
      <c r="R27" s="116" t="s">
        <v>97</v>
      </c>
      <c r="S27" s="116" t="s">
        <v>97</v>
      </c>
      <c r="T27" s="122"/>
      <c r="U27" s="114">
        <v>0.4</v>
      </c>
      <c r="V27" s="116">
        <v>0.4</v>
      </c>
      <c r="W27" s="114">
        <v>0.8</v>
      </c>
      <c r="X27" s="116" t="s">
        <v>97</v>
      </c>
      <c r="Y27" s="114">
        <v>2</v>
      </c>
      <c r="Z27" s="114">
        <v>3.5</v>
      </c>
      <c r="AA27" s="116">
        <v>1</v>
      </c>
      <c r="AB27" s="25" t="s">
        <v>97</v>
      </c>
      <c r="AC27" s="25" t="s">
        <v>97</v>
      </c>
      <c r="AD27" s="116" t="s">
        <v>99</v>
      </c>
      <c r="AE27" s="116" t="s">
        <v>109</v>
      </c>
      <c r="AF27" s="22">
        <f t="shared" si="8"/>
        <v>1.346153846153846</v>
      </c>
      <c r="AG27" s="15">
        <f t="shared" si="1"/>
        <v>3</v>
      </c>
      <c r="AH27" s="7">
        <f t="shared" si="2"/>
        <v>10</v>
      </c>
      <c r="AI27" s="7">
        <f t="shared" si="3"/>
        <v>10</v>
      </c>
      <c r="AJ27" s="7">
        <f t="shared" si="4"/>
        <v>5</v>
      </c>
      <c r="AK27" s="12">
        <f t="shared" si="5"/>
        <v>6</v>
      </c>
      <c r="AL27" s="14">
        <f t="shared" si="9"/>
        <v>34</v>
      </c>
      <c r="AM27" s="16" t="str">
        <f t="shared" si="7"/>
        <v>Barrier</v>
      </c>
      <c r="AN27" s="116" t="s">
        <v>141</v>
      </c>
      <c r="AO27" s="114">
        <v>10</v>
      </c>
      <c r="AP27" s="25" t="s">
        <v>163</v>
      </c>
    </row>
    <row r="28" spans="1:42" ht="30" x14ac:dyDescent="0.25">
      <c r="A28" s="117">
        <v>44096</v>
      </c>
      <c r="B28" s="76"/>
      <c r="C28" s="25">
        <v>2020092201</v>
      </c>
      <c r="D28" s="25" t="s">
        <v>92</v>
      </c>
      <c r="E28" s="77">
        <v>11</v>
      </c>
      <c r="F28" s="78">
        <v>634969</v>
      </c>
      <c r="G28" s="79">
        <v>5484828</v>
      </c>
      <c r="H28" s="77" t="s">
        <v>209</v>
      </c>
      <c r="I28" s="77" t="s">
        <v>119</v>
      </c>
      <c r="J28" s="80"/>
      <c r="K28" s="77" t="s">
        <v>216</v>
      </c>
      <c r="L28" s="25" t="s">
        <v>116</v>
      </c>
      <c r="M28" s="25" t="s">
        <v>117</v>
      </c>
      <c r="N28" s="114">
        <v>1.2</v>
      </c>
      <c r="O28" s="114">
        <v>12</v>
      </c>
      <c r="P28" s="121"/>
      <c r="Q28" s="122"/>
      <c r="R28" s="121"/>
      <c r="S28" s="121"/>
      <c r="T28" s="122"/>
      <c r="U28" s="122"/>
      <c r="V28" s="121"/>
      <c r="W28" s="122"/>
      <c r="X28" s="121"/>
      <c r="Y28" s="122"/>
      <c r="Z28" s="122"/>
      <c r="AA28" s="121"/>
      <c r="AB28" s="25" t="s">
        <v>97</v>
      </c>
      <c r="AC28" s="25" t="s">
        <v>98</v>
      </c>
      <c r="AD28" s="121"/>
      <c r="AE28" s="121"/>
      <c r="AF28" s="22">
        <f t="shared" si="8"/>
        <v>0</v>
      </c>
      <c r="AG28" s="15">
        <f t="shared" si="1"/>
        <v>0</v>
      </c>
      <c r="AH28" s="7">
        <f t="shared" si="2"/>
        <v>0</v>
      </c>
      <c r="AI28" s="7">
        <f t="shared" si="3"/>
        <v>0</v>
      </c>
      <c r="AJ28" s="7">
        <f t="shared" si="4"/>
        <v>0</v>
      </c>
      <c r="AK28" s="12">
        <f t="shared" si="5"/>
        <v>0</v>
      </c>
      <c r="AL28" s="14">
        <f t="shared" si="9"/>
        <v>0</v>
      </c>
      <c r="AM28" s="16" t="str">
        <f t="shared" si="7"/>
        <v>Passable</v>
      </c>
      <c r="AN28" s="121"/>
      <c r="AO28" s="122"/>
      <c r="AP28" s="25" t="s">
        <v>164</v>
      </c>
    </row>
    <row r="29" spans="1:42" ht="30" x14ac:dyDescent="0.25">
      <c r="A29" s="117">
        <v>44097</v>
      </c>
      <c r="B29" s="76"/>
      <c r="C29" s="25">
        <v>2020092301</v>
      </c>
      <c r="D29" s="25" t="s">
        <v>92</v>
      </c>
      <c r="E29" s="77">
        <v>11</v>
      </c>
      <c r="F29" s="78">
        <v>636474</v>
      </c>
      <c r="G29" s="79">
        <v>5483873</v>
      </c>
      <c r="H29" s="77" t="s">
        <v>209</v>
      </c>
      <c r="I29" s="77" t="s">
        <v>120</v>
      </c>
      <c r="J29" s="80"/>
      <c r="K29" s="77" t="s">
        <v>216</v>
      </c>
      <c r="L29" s="25" t="s">
        <v>116</v>
      </c>
      <c r="M29" s="25" t="s">
        <v>117</v>
      </c>
      <c r="N29" s="114">
        <v>1.2</v>
      </c>
      <c r="O29" s="114">
        <v>8</v>
      </c>
      <c r="P29" s="121"/>
      <c r="Q29" s="122"/>
      <c r="R29" s="121"/>
      <c r="S29" s="121"/>
      <c r="T29" s="122"/>
      <c r="U29" s="122"/>
      <c r="V29" s="121"/>
      <c r="W29" s="122"/>
      <c r="X29" s="121"/>
      <c r="Y29" s="122"/>
      <c r="Z29" s="122"/>
      <c r="AA29" s="121"/>
      <c r="AB29" s="25" t="s">
        <v>97</v>
      </c>
      <c r="AC29" s="25" t="s">
        <v>98</v>
      </c>
      <c r="AD29" s="121"/>
      <c r="AE29" s="121"/>
      <c r="AF29" s="22">
        <f t="shared" si="8"/>
        <v>0</v>
      </c>
      <c r="AG29" s="15">
        <f t="shared" si="1"/>
        <v>0</v>
      </c>
      <c r="AH29" s="7">
        <f t="shared" si="2"/>
        <v>0</v>
      </c>
      <c r="AI29" s="7">
        <f t="shared" si="3"/>
        <v>0</v>
      </c>
      <c r="AJ29" s="7">
        <f t="shared" si="4"/>
        <v>0</v>
      </c>
      <c r="AK29" s="12">
        <f t="shared" si="5"/>
        <v>0</v>
      </c>
      <c r="AL29" s="14">
        <f t="shared" si="9"/>
        <v>0</v>
      </c>
      <c r="AM29" s="16" t="str">
        <f t="shared" si="7"/>
        <v>Passable</v>
      </c>
      <c r="AN29" s="121"/>
      <c r="AO29" s="122"/>
      <c r="AP29" s="25" t="s">
        <v>165</v>
      </c>
    </row>
    <row r="30" spans="1:42" ht="30" x14ac:dyDescent="0.25">
      <c r="A30" s="117">
        <v>44097</v>
      </c>
      <c r="B30" s="76"/>
      <c r="C30" s="25">
        <v>4600077</v>
      </c>
      <c r="D30" s="25" t="s">
        <v>92</v>
      </c>
      <c r="E30" s="77">
        <v>11</v>
      </c>
      <c r="F30" s="78">
        <v>639864</v>
      </c>
      <c r="G30" s="79">
        <v>5483627</v>
      </c>
      <c r="H30" s="77" t="s">
        <v>103</v>
      </c>
      <c r="I30" s="77" t="s">
        <v>121</v>
      </c>
      <c r="J30" s="80"/>
      <c r="K30" s="77" t="s">
        <v>221</v>
      </c>
      <c r="L30" s="25" t="s">
        <v>95</v>
      </c>
      <c r="M30" s="25" t="s">
        <v>96</v>
      </c>
      <c r="N30" s="114">
        <v>0.75</v>
      </c>
      <c r="O30" s="114">
        <v>20</v>
      </c>
      <c r="P30" s="116" t="s">
        <v>98</v>
      </c>
      <c r="Q30" s="114">
        <v>0.1</v>
      </c>
      <c r="R30" s="116" t="s">
        <v>98</v>
      </c>
      <c r="S30" s="116" t="s">
        <v>97</v>
      </c>
      <c r="T30" s="122"/>
      <c r="U30" s="114">
        <v>4</v>
      </c>
      <c r="V30" s="116">
        <v>0</v>
      </c>
      <c r="W30" s="114">
        <v>0</v>
      </c>
      <c r="X30" s="116" t="s">
        <v>97</v>
      </c>
      <c r="Y30" s="114">
        <v>0.5</v>
      </c>
      <c r="Z30" s="114">
        <v>2.7</v>
      </c>
      <c r="AA30" s="116">
        <v>0.5</v>
      </c>
      <c r="AB30" s="25" t="s">
        <v>97</v>
      </c>
      <c r="AC30" s="25" t="s">
        <v>97</v>
      </c>
      <c r="AD30" s="116" t="s">
        <v>99</v>
      </c>
      <c r="AE30" s="116" t="s">
        <v>101</v>
      </c>
      <c r="AF30" s="22">
        <f t="shared" si="8"/>
        <v>3.6</v>
      </c>
      <c r="AG30" s="15">
        <f t="shared" si="1"/>
        <v>3</v>
      </c>
      <c r="AH30" s="7">
        <f t="shared" si="2"/>
        <v>5</v>
      </c>
      <c r="AI30" s="7">
        <f t="shared" si="3"/>
        <v>0</v>
      </c>
      <c r="AJ30" s="7">
        <f t="shared" si="4"/>
        <v>0</v>
      </c>
      <c r="AK30" s="12">
        <f t="shared" si="5"/>
        <v>6</v>
      </c>
      <c r="AL30" s="14">
        <f t="shared" si="9"/>
        <v>14</v>
      </c>
      <c r="AM30" s="16" t="str">
        <f t="shared" si="7"/>
        <v>Passable</v>
      </c>
      <c r="AN30" s="121"/>
      <c r="AO30" s="122"/>
      <c r="AP30" s="25" t="s">
        <v>166</v>
      </c>
    </row>
    <row r="31" spans="1:42" ht="30" x14ac:dyDescent="0.25">
      <c r="A31" s="117">
        <v>44097</v>
      </c>
      <c r="B31" s="76"/>
      <c r="C31" s="25">
        <v>4600102</v>
      </c>
      <c r="D31" s="25" t="s">
        <v>122</v>
      </c>
      <c r="E31" s="77">
        <v>11</v>
      </c>
      <c r="F31" s="78">
        <v>640306</v>
      </c>
      <c r="G31" s="79">
        <v>5481672</v>
      </c>
      <c r="H31" s="77" t="s">
        <v>103</v>
      </c>
      <c r="I31" s="77" t="s">
        <v>123</v>
      </c>
      <c r="J31" s="80"/>
      <c r="K31" s="77" t="s">
        <v>218</v>
      </c>
      <c r="L31" s="25" t="s">
        <v>95</v>
      </c>
      <c r="M31" s="25" t="s">
        <v>96</v>
      </c>
      <c r="N31" s="114">
        <v>0.5</v>
      </c>
      <c r="O31" s="114">
        <v>16</v>
      </c>
      <c r="P31" s="116" t="s">
        <v>97</v>
      </c>
      <c r="Q31" s="122"/>
      <c r="R31" s="116" t="s">
        <v>97</v>
      </c>
      <c r="S31" s="116" t="s">
        <v>97</v>
      </c>
      <c r="T31" s="122"/>
      <c r="U31" s="114">
        <v>1</v>
      </c>
      <c r="V31" s="116">
        <v>0</v>
      </c>
      <c r="W31" s="114">
        <v>0</v>
      </c>
      <c r="X31" s="116" t="s">
        <v>97</v>
      </c>
      <c r="Y31" s="114">
        <v>1</v>
      </c>
      <c r="Z31" s="114">
        <v>0.5</v>
      </c>
      <c r="AA31" s="116">
        <v>0</v>
      </c>
      <c r="AB31" s="25" t="s">
        <v>97</v>
      </c>
      <c r="AC31" s="25" t="s">
        <v>97</v>
      </c>
      <c r="AD31" s="116" t="s">
        <v>99</v>
      </c>
      <c r="AE31" s="116" t="s">
        <v>101</v>
      </c>
      <c r="AF31" s="22">
        <f t="shared" si="8"/>
        <v>1</v>
      </c>
      <c r="AG31" s="15">
        <f t="shared" si="1"/>
        <v>3</v>
      </c>
      <c r="AH31" s="7">
        <f t="shared" si="2"/>
        <v>10</v>
      </c>
      <c r="AI31" s="7">
        <f t="shared" si="3"/>
        <v>0</v>
      </c>
      <c r="AJ31" s="7">
        <f t="shared" si="4"/>
        <v>5</v>
      </c>
      <c r="AK31" s="12">
        <f t="shared" si="5"/>
        <v>3</v>
      </c>
      <c r="AL31" s="14">
        <f t="shared" si="9"/>
        <v>21</v>
      </c>
      <c r="AM31" s="16" t="str">
        <f t="shared" si="7"/>
        <v>Barrier</v>
      </c>
      <c r="AN31" s="116" t="s">
        <v>229</v>
      </c>
      <c r="AO31" s="114">
        <v>2</v>
      </c>
      <c r="AP31" s="25" t="s">
        <v>167</v>
      </c>
    </row>
    <row r="32" spans="1:42" ht="30" x14ac:dyDescent="0.25">
      <c r="A32" s="117">
        <v>44097</v>
      </c>
      <c r="B32" s="76"/>
      <c r="C32" s="25">
        <v>4603265</v>
      </c>
      <c r="D32" s="25" t="s">
        <v>92</v>
      </c>
      <c r="E32" s="77">
        <v>11</v>
      </c>
      <c r="F32" s="78">
        <v>640287</v>
      </c>
      <c r="G32" s="79">
        <v>5481650</v>
      </c>
      <c r="H32" s="77" t="s">
        <v>103</v>
      </c>
      <c r="I32" s="77" t="s">
        <v>124</v>
      </c>
      <c r="J32" s="80"/>
      <c r="K32" s="77" t="s">
        <v>222</v>
      </c>
      <c r="L32" s="25" t="s">
        <v>95</v>
      </c>
      <c r="M32" s="25" t="s">
        <v>96</v>
      </c>
      <c r="N32" s="114">
        <v>0.6</v>
      </c>
      <c r="O32" s="114">
        <v>13</v>
      </c>
      <c r="P32" s="116" t="s">
        <v>97</v>
      </c>
      <c r="Q32" s="122"/>
      <c r="R32" s="116" t="s">
        <v>97</v>
      </c>
      <c r="S32" s="116" t="s">
        <v>97</v>
      </c>
      <c r="T32" s="122"/>
      <c r="U32" s="114">
        <v>3</v>
      </c>
      <c r="V32" s="116">
        <v>0</v>
      </c>
      <c r="W32" s="114">
        <v>0</v>
      </c>
      <c r="X32" s="116" t="s">
        <v>97</v>
      </c>
      <c r="Y32" s="114">
        <v>0.5</v>
      </c>
      <c r="Z32" s="114">
        <v>0.5</v>
      </c>
      <c r="AA32" s="116">
        <v>0</v>
      </c>
      <c r="AB32" s="25" t="s">
        <v>97</v>
      </c>
      <c r="AC32" s="25" t="s">
        <v>97</v>
      </c>
      <c r="AD32" s="116" t="s">
        <v>99</v>
      </c>
      <c r="AE32" s="116" t="s">
        <v>101</v>
      </c>
      <c r="AF32" s="22">
        <f t="shared" si="8"/>
        <v>0.83333333333333337</v>
      </c>
      <c r="AG32" s="15">
        <f t="shared" si="1"/>
        <v>0</v>
      </c>
      <c r="AH32" s="7">
        <f t="shared" si="2"/>
        <v>10</v>
      </c>
      <c r="AI32" s="7">
        <f t="shared" si="3"/>
        <v>0</v>
      </c>
      <c r="AJ32" s="7">
        <f t="shared" si="4"/>
        <v>0</v>
      </c>
      <c r="AK32" s="12">
        <f t="shared" si="5"/>
        <v>0</v>
      </c>
      <c r="AL32" s="14">
        <f t="shared" si="9"/>
        <v>10</v>
      </c>
      <c r="AM32" s="16" t="str">
        <f t="shared" si="7"/>
        <v>Passable</v>
      </c>
      <c r="AN32" s="121"/>
      <c r="AO32" s="122"/>
      <c r="AP32" s="25" t="s">
        <v>168</v>
      </c>
    </row>
    <row r="33" spans="1:42" ht="30" x14ac:dyDescent="0.25">
      <c r="A33" s="117">
        <v>44097</v>
      </c>
      <c r="B33" s="76"/>
      <c r="C33" s="25">
        <v>4600008</v>
      </c>
      <c r="D33" s="25" t="s">
        <v>92</v>
      </c>
      <c r="E33" s="77">
        <v>11</v>
      </c>
      <c r="F33" s="78">
        <v>640268</v>
      </c>
      <c r="G33" s="79">
        <v>5481377</v>
      </c>
      <c r="H33" s="77" t="s">
        <v>103</v>
      </c>
      <c r="I33" s="77" t="s">
        <v>125</v>
      </c>
      <c r="J33" s="80"/>
      <c r="K33" s="77" t="s">
        <v>218</v>
      </c>
      <c r="L33" s="25" t="s">
        <v>95</v>
      </c>
      <c r="M33" s="25" t="s">
        <v>96</v>
      </c>
      <c r="N33" s="114">
        <v>0.65</v>
      </c>
      <c r="O33" s="114">
        <v>11</v>
      </c>
      <c r="P33" s="116" t="s">
        <v>98</v>
      </c>
      <c r="Q33" s="114">
        <v>0.1</v>
      </c>
      <c r="R33" s="116" t="s">
        <v>98</v>
      </c>
      <c r="S33" s="116" t="s">
        <v>97</v>
      </c>
      <c r="T33" s="122"/>
      <c r="U33" s="114">
        <v>1.2</v>
      </c>
      <c r="V33" s="116">
        <v>0</v>
      </c>
      <c r="W33" s="114">
        <v>0</v>
      </c>
      <c r="X33" s="116" t="s">
        <v>97</v>
      </c>
      <c r="Y33" s="114">
        <v>0.5</v>
      </c>
      <c r="Z33" s="114">
        <v>1.2</v>
      </c>
      <c r="AA33" s="116">
        <v>0.5</v>
      </c>
      <c r="AB33" s="25" t="s">
        <v>97</v>
      </c>
      <c r="AC33" s="25" t="s">
        <v>97</v>
      </c>
      <c r="AD33" s="116" t="s">
        <v>99</v>
      </c>
      <c r="AE33" s="116" t="s">
        <v>101</v>
      </c>
      <c r="AF33" s="22">
        <f t="shared" si="8"/>
        <v>1.846153846153846</v>
      </c>
      <c r="AG33" s="15">
        <f t="shared" si="1"/>
        <v>0</v>
      </c>
      <c r="AH33" s="7">
        <f t="shared" si="2"/>
        <v>5</v>
      </c>
      <c r="AI33" s="7">
        <f t="shared" si="3"/>
        <v>0</v>
      </c>
      <c r="AJ33" s="7">
        <f t="shared" si="4"/>
        <v>0</v>
      </c>
      <c r="AK33" s="12">
        <f t="shared" si="5"/>
        <v>6</v>
      </c>
      <c r="AL33" s="14">
        <f t="shared" si="9"/>
        <v>11</v>
      </c>
      <c r="AM33" s="16" t="str">
        <f t="shared" si="7"/>
        <v>Passable</v>
      </c>
      <c r="AN33" s="121"/>
      <c r="AO33" s="122"/>
      <c r="AP33" s="25" t="s">
        <v>169</v>
      </c>
    </row>
    <row r="34" spans="1:42" ht="30" x14ac:dyDescent="0.25">
      <c r="A34" s="117">
        <v>44097</v>
      </c>
      <c r="B34" s="76"/>
      <c r="C34" s="25">
        <v>2020092302</v>
      </c>
      <c r="D34" s="25" t="s">
        <v>92</v>
      </c>
      <c r="E34" s="77">
        <v>11</v>
      </c>
      <c r="F34" s="78">
        <v>640218</v>
      </c>
      <c r="G34" s="79">
        <v>5481065</v>
      </c>
      <c r="H34" s="77" t="s">
        <v>103</v>
      </c>
      <c r="I34" s="77" t="s">
        <v>126</v>
      </c>
      <c r="J34" s="80"/>
      <c r="K34" s="77" t="s">
        <v>216</v>
      </c>
      <c r="L34" s="25" t="s">
        <v>95</v>
      </c>
      <c r="M34" s="25" t="s">
        <v>96</v>
      </c>
      <c r="N34" s="114">
        <v>0.6</v>
      </c>
      <c r="O34" s="114">
        <v>14</v>
      </c>
      <c r="P34" s="116" t="s">
        <v>98</v>
      </c>
      <c r="Q34" s="114">
        <v>0.03</v>
      </c>
      <c r="R34" s="116" t="s">
        <v>98</v>
      </c>
      <c r="S34" s="116" t="s">
        <v>97</v>
      </c>
      <c r="T34" s="122"/>
      <c r="U34" s="114">
        <v>1.2</v>
      </c>
      <c r="V34" s="116">
        <v>0</v>
      </c>
      <c r="W34" s="114">
        <v>0</v>
      </c>
      <c r="X34" s="116" t="s">
        <v>97</v>
      </c>
      <c r="Y34" s="114">
        <v>0.5</v>
      </c>
      <c r="Z34" s="114">
        <v>1.5</v>
      </c>
      <c r="AA34" s="116">
        <v>0</v>
      </c>
      <c r="AB34" s="25" t="s">
        <v>97</v>
      </c>
      <c r="AC34" s="25" t="s">
        <v>97</v>
      </c>
      <c r="AD34" s="116" t="s">
        <v>99</v>
      </c>
      <c r="AE34" s="116" t="s">
        <v>101</v>
      </c>
      <c r="AF34" s="22">
        <f t="shared" si="8"/>
        <v>2.5</v>
      </c>
      <c r="AG34" s="15">
        <f t="shared" si="1"/>
        <v>0</v>
      </c>
      <c r="AH34" s="7">
        <f t="shared" si="2"/>
        <v>5</v>
      </c>
      <c r="AI34" s="7">
        <f t="shared" si="3"/>
        <v>0</v>
      </c>
      <c r="AJ34" s="7">
        <f t="shared" si="4"/>
        <v>0</v>
      </c>
      <c r="AK34" s="12">
        <f t="shared" si="5"/>
        <v>6</v>
      </c>
      <c r="AL34" s="14">
        <f t="shared" si="9"/>
        <v>11</v>
      </c>
      <c r="AM34" s="16" t="str">
        <f t="shared" si="7"/>
        <v>Passable</v>
      </c>
      <c r="AN34" s="121"/>
      <c r="AO34" s="122"/>
      <c r="AP34" s="25" t="s">
        <v>168</v>
      </c>
    </row>
    <row r="35" spans="1:42" ht="30" x14ac:dyDescent="0.25">
      <c r="A35" s="117">
        <v>44097</v>
      </c>
      <c r="B35" s="76"/>
      <c r="C35" s="25">
        <v>2020092303</v>
      </c>
      <c r="D35" s="25" t="s">
        <v>92</v>
      </c>
      <c r="E35" s="77">
        <v>11</v>
      </c>
      <c r="F35" s="78">
        <v>640227</v>
      </c>
      <c r="G35" s="79">
        <v>5481028</v>
      </c>
      <c r="H35" s="77" t="s">
        <v>103</v>
      </c>
      <c r="I35" s="77" t="s">
        <v>105</v>
      </c>
      <c r="J35" s="80"/>
      <c r="K35" s="77" t="s">
        <v>216</v>
      </c>
      <c r="L35" s="25" t="s">
        <v>95</v>
      </c>
      <c r="M35" s="25" t="s">
        <v>96</v>
      </c>
      <c r="N35" s="114">
        <v>0.6</v>
      </c>
      <c r="O35" s="114">
        <v>15</v>
      </c>
      <c r="P35" s="116" t="s">
        <v>97</v>
      </c>
      <c r="Q35" s="122"/>
      <c r="R35" s="116" t="s">
        <v>97</v>
      </c>
      <c r="S35" s="116" t="s">
        <v>97</v>
      </c>
      <c r="T35" s="122"/>
      <c r="U35" s="114">
        <v>1</v>
      </c>
      <c r="V35" s="116">
        <v>0</v>
      </c>
      <c r="W35" s="114">
        <v>0</v>
      </c>
      <c r="X35" s="116" t="s">
        <v>97</v>
      </c>
      <c r="Y35" s="114">
        <v>0.5</v>
      </c>
      <c r="Z35" s="114">
        <v>1.5</v>
      </c>
      <c r="AA35" s="116">
        <v>2</v>
      </c>
      <c r="AB35" s="25" t="s">
        <v>97</v>
      </c>
      <c r="AC35" s="25" t="s">
        <v>97</v>
      </c>
      <c r="AD35" s="116" t="s">
        <v>99</v>
      </c>
      <c r="AE35" s="116" t="s">
        <v>101</v>
      </c>
      <c r="AF35" s="22">
        <f t="shared" si="8"/>
        <v>2.5</v>
      </c>
      <c r="AG35" s="15">
        <f t="shared" si="1"/>
        <v>3</v>
      </c>
      <c r="AH35" s="7">
        <f t="shared" si="2"/>
        <v>10</v>
      </c>
      <c r="AI35" s="7">
        <f t="shared" si="3"/>
        <v>0</v>
      </c>
      <c r="AJ35" s="7">
        <f t="shared" si="4"/>
        <v>0</v>
      </c>
      <c r="AK35" s="12">
        <f t="shared" si="5"/>
        <v>6</v>
      </c>
      <c r="AL35" s="14">
        <f t="shared" si="9"/>
        <v>19</v>
      </c>
      <c r="AM35" s="16" t="str">
        <f t="shared" si="7"/>
        <v>Potential</v>
      </c>
      <c r="AN35" s="116" t="s">
        <v>229</v>
      </c>
      <c r="AO35" s="114">
        <v>2</v>
      </c>
      <c r="AP35" s="25" t="s">
        <v>170</v>
      </c>
    </row>
    <row r="36" spans="1:42" ht="30" x14ac:dyDescent="0.25">
      <c r="A36" s="117">
        <v>44090</v>
      </c>
      <c r="B36" s="76"/>
      <c r="C36" s="25">
        <v>4605636</v>
      </c>
      <c r="D36" s="25" t="s">
        <v>127</v>
      </c>
      <c r="E36" s="77">
        <v>11</v>
      </c>
      <c r="F36" s="78">
        <v>644148</v>
      </c>
      <c r="G36" s="79">
        <v>5564425</v>
      </c>
      <c r="H36" s="77" t="s">
        <v>103</v>
      </c>
      <c r="I36" s="77" t="s">
        <v>94</v>
      </c>
      <c r="J36" s="80">
        <v>123</v>
      </c>
      <c r="K36" s="77" t="s">
        <v>224</v>
      </c>
      <c r="L36" s="25" t="s">
        <v>116</v>
      </c>
      <c r="M36" s="25" t="s">
        <v>128</v>
      </c>
      <c r="N36" s="114">
        <v>2.5</v>
      </c>
      <c r="O36" s="114">
        <v>14.5</v>
      </c>
      <c r="P36" s="121"/>
      <c r="Q36" s="122"/>
      <c r="R36" s="121"/>
      <c r="S36" s="121"/>
      <c r="T36" s="122"/>
      <c r="U36" s="122"/>
      <c r="V36" s="121"/>
      <c r="W36" s="122"/>
      <c r="X36" s="121"/>
      <c r="Y36" s="122"/>
      <c r="Z36" s="122"/>
      <c r="AA36" s="121"/>
      <c r="AB36" s="25" t="s">
        <v>97</v>
      </c>
      <c r="AC36" s="25" t="s">
        <v>97</v>
      </c>
      <c r="AD36" s="121"/>
      <c r="AE36" s="121"/>
      <c r="AF36" s="22">
        <f t="shared" si="8"/>
        <v>0</v>
      </c>
      <c r="AG36" s="15">
        <f t="shared" si="1"/>
        <v>0</v>
      </c>
      <c r="AH36" s="7">
        <f t="shared" si="2"/>
        <v>0</v>
      </c>
      <c r="AI36" s="7">
        <f t="shared" si="3"/>
        <v>0</v>
      </c>
      <c r="AJ36" s="7">
        <f t="shared" si="4"/>
        <v>0</v>
      </c>
      <c r="AK36" s="12">
        <f t="shared" si="5"/>
        <v>0</v>
      </c>
      <c r="AL36" s="14">
        <f t="shared" si="9"/>
        <v>0</v>
      </c>
      <c r="AM36" s="16" t="str">
        <f t="shared" si="7"/>
        <v>Passable</v>
      </c>
      <c r="AN36" s="121"/>
      <c r="AO36" s="122"/>
      <c r="AP36" s="25" t="s">
        <v>171</v>
      </c>
    </row>
    <row r="37" spans="1:42" ht="30" x14ac:dyDescent="0.25">
      <c r="A37" s="117">
        <v>44090</v>
      </c>
      <c r="B37" s="76"/>
      <c r="C37" s="25">
        <v>4605707</v>
      </c>
      <c r="D37" s="25" t="s">
        <v>127</v>
      </c>
      <c r="E37" s="77">
        <v>11</v>
      </c>
      <c r="F37" s="78">
        <v>643981</v>
      </c>
      <c r="G37" s="79">
        <v>5561132</v>
      </c>
      <c r="H37" s="77" t="s">
        <v>103</v>
      </c>
      <c r="I37" s="77" t="s">
        <v>94</v>
      </c>
      <c r="J37" s="80">
        <v>119.8</v>
      </c>
      <c r="K37" s="77" t="s">
        <v>224</v>
      </c>
      <c r="L37" s="25" t="s">
        <v>95</v>
      </c>
      <c r="M37" s="25" t="s">
        <v>96</v>
      </c>
      <c r="N37" s="114">
        <v>0.6</v>
      </c>
      <c r="O37" s="114">
        <v>11</v>
      </c>
      <c r="P37" s="116" t="s">
        <v>97</v>
      </c>
      <c r="Q37" s="122"/>
      <c r="R37" s="116" t="s">
        <v>97</v>
      </c>
      <c r="S37" s="116" t="s">
        <v>97</v>
      </c>
      <c r="T37" s="122"/>
      <c r="U37" s="114">
        <v>0.4</v>
      </c>
      <c r="V37" s="116">
        <v>0</v>
      </c>
      <c r="W37" s="114">
        <v>0</v>
      </c>
      <c r="X37" s="116" t="s">
        <v>97</v>
      </c>
      <c r="Y37" s="114">
        <v>1.5</v>
      </c>
      <c r="Z37" s="114">
        <v>2.2999999999999998</v>
      </c>
      <c r="AA37" s="116">
        <v>1</v>
      </c>
      <c r="AB37" s="25" t="s">
        <v>97</v>
      </c>
      <c r="AC37" s="25" t="s">
        <v>97</v>
      </c>
      <c r="AD37" s="116" t="s">
        <v>99</v>
      </c>
      <c r="AE37" s="116" t="s">
        <v>101</v>
      </c>
      <c r="AF37" s="22">
        <f t="shared" si="8"/>
        <v>3.833333333333333</v>
      </c>
      <c r="AG37" s="15">
        <f t="shared" si="1"/>
        <v>0</v>
      </c>
      <c r="AH37" s="7">
        <f t="shared" si="2"/>
        <v>10</v>
      </c>
      <c r="AI37" s="7">
        <f t="shared" si="3"/>
        <v>0</v>
      </c>
      <c r="AJ37" s="7">
        <f t="shared" si="4"/>
        <v>5</v>
      </c>
      <c r="AK37" s="12">
        <f t="shared" si="5"/>
        <v>6</v>
      </c>
      <c r="AL37" s="14">
        <f t="shared" si="9"/>
        <v>21</v>
      </c>
      <c r="AM37" s="16" t="str">
        <f t="shared" si="7"/>
        <v>Barrier</v>
      </c>
      <c r="AN37" s="116" t="s">
        <v>141</v>
      </c>
      <c r="AO37" s="114">
        <v>10</v>
      </c>
      <c r="AP37" s="25" t="s">
        <v>172</v>
      </c>
    </row>
    <row r="38" spans="1:42" x14ac:dyDescent="0.25">
      <c r="A38" s="117">
        <v>44090</v>
      </c>
      <c r="B38" s="76"/>
      <c r="C38" s="25">
        <v>4605742</v>
      </c>
      <c r="D38" s="25" t="s">
        <v>127</v>
      </c>
      <c r="E38" s="77">
        <v>11</v>
      </c>
      <c r="F38" s="78">
        <v>643578</v>
      </c>
      <c r="G38" s="79">
        <v>5560087</v>
      </c>
      <c r="H38" s="77" t="s">
        <v>210</v>
      </c>
      <c r="I38" s="77" t="s">
        <v>94</v>
      </c>
      <c r="J38" s="80">
        <v>118.7</v>
      </c>
      <c r="K38" s="77" t="s">
        <v>224</v>
      </c>
      <c r="L38" s="25" t="s">
        <v>95</v>
      </c>
      <c r="M38" s="25" t="s">
        <v>96</v>
      </c>
      <c r="N38" s="114">
        <v>1.5</v>
      </c>
      <c r="O38" s="114">
        <v>15</v>
      </c>
      <c r="P38" s="116" t="s">
        <v>98</v>
      </c>
      <c r="Q38" s="114">
        <v>0.12</v>
      </c>
      <c r="R38" s="116" t="s">
        <v>98</v>
      </c>
      <c r="S38" s="116" t="s">
        <v>97</v>
      </c>
      <c r="T38" s="122"/>
      <c r="U38" s="114">
        <v>0.3</v>
      </c>
      <c r="V38" s="116">
        <v>0</v>
      </c>
      <c r="W38" s="114">
        <v>0.2</v>
      </c>
      <c r="X38" s="116" t="s">
        <v>97</v>
      </c>
      <c r="Y38" s="114">
        <v>1.5</v>
      </c>
      <c r="Z38" s="114">
        <v>2.5</v>
      </c>
      <c r="AA38" s="116">
        <v>3.5</v>
      </c>
      <c r="AB38" s="25" t="s">
        <v>97</v>
      </c>
      <c r="AC38" s="25" t="s">
        <v>97</v>
      </c>
      <c r="AD38" s="116" t="s">
        <v>99</v>
      </c>
      <c r="AE38" s="116" t="s">
        <v>109</v>
      </c>
      <c r="AF38" s="22">
        <f t="shared" si="8"/>
        <v>1.6666666666666667</v>
      </c>
      <c r="AG38" s="15">
        <f t="shared" si="1"/>
        <v>3</v>
      </c>
      <c r="AH38" s="7">
        <f t="shared" si="2"/>
        <v>5</v>
      </c>
      <c r="AI38" s="7">
        <f t="shared" si="3"/>
        <v>0</v>
      </c>
      <c r="AJ38" s="7">
        <f t="shared" si="4"/>
        <v>5</v>
      </c>
      <c r="AK38" s="12">
        <f t="shared" si="5"/>
        <v>6</v>
      </c>
      <c r="AL38" s="14">
        <f t="shared" si="9"/>
        <v>19</v>
      </c>
      <c r="AM38" s="16" t="str">
        <f t="shared" si="7"/>
        <v>Potential</v>
      </c>
      <c r="AN38" s="116" t="s">
        <v>141</v>
      </c>
      <c r="AO38" s="114">
        <v>10</v>
      </c>
      <c r="AP38" s="25" t="s">
        <v>173</v>
      </c>
    </row>
    <row r="39" spans="1:42" ht="30" x14ac:dyDescent="0.25">
      <c r="A39" s="117">
        <v>44090</v>
      </c>
      <c r="B39" s="76"/>
      <c r="C39" s="25">
        <v>4605649</v>
      </c>
      <c r="D39" s="25" t="s">
        <v>127</v>
      </c>
      <c r="E39" s="77">
        <v>11</v>
      </c>
      <c r="F39" s="78">
        <v>645873</v>
      </c>
      <c r="G39" s="79">
        <v>5556758</v>
      </c>
      <c r="H39" s="77" t="s">
        <v>103</v>
      </c>
      <c r="I39" s="77" t="s">
        <v>94</v>
      </c>
      <c r="J39" s="80">
        <v>114.5</v>
      </c>
      <c r="K39" s="77" t="s">
        <v>224</v>
      </c>
      <c r="L39" s="25" t="s">
        <v>95</v>
      </c>
      <c r="M39" s="25" t="s">
        <v>96</v>
      </c>
      <c r="N39" s="114">
        <v>0.9</v>
      </c>
      <c r="O39" s="114">
        <v>17</v>
      </c>
      <c r="P39" s="116" t="s">
        <v>97</v>
      </c>
      <c r="Q39" s="122"/>
      <c r="R39" s="116" t="s">
        <v>97</v>
      </c>
      <c r="S39" s="116" t="s">
        <v>98</v>
      </c>
      <c r="T39" s="114">
        <v>100</v>
      </c>
      <c r="U39" s="114">
        <v>1.5</v>
      </c>
      <c r="V39" s="116">
        <v>0</v>
      </c>
      <c r="W39" s="114">
        <v>0.6</v>
      </c>
      <c r="X39" s="116" t="s">
        <v>97</v>
      </c>
      <c r="Y39" s="114">
        <v>0.5</v>
      </c>
      <c r="Z39" s="114">
        <v>1</v>
      </c>
      <c r="AA39" s="116">
        <v>2.5</v>
      </c>
      <c r="AB39" s="25" t="s">
        <v>97</v>
      </c>
      <c r="AC39" s="25" t="s">
        <v>97</v>
      </c>
      <c r="AD39" s="116" t="s">
        <v>99</v>
      </c>
      <c r="AE39" s="116" t="s">
        <v>100</v>
      </c>
      <c r="AF39" s="22">
        <f t="shared" si="8"/>
        <v>1.1111111111111112</v>
      </c>
      <c r="AG39" s="15">
        <f t="shared" si="1"/>
        <v>3</v>
      </c>
      <c r="AH39" s="7">
        <f t="shared" si="2"/>
        <v>10</v>
      </c>
      <c r="AI39" s="7">
        <f t="shared" si="3"/>
        <v>0</v>
      </c>
      <c r="AJ39" s="7">
        <f t="shared" si="4"/>
        <v>0</v>
      </c>
      <c r="AK39" s="12">
        <f t="shared" si="5"/>
        <v>3</v>
      </c>
      <c r="AL39" s="14">
        <f t="shared" si="9"/>
        <v>16</v>
      </c>
      <c r="AM39" s="16" t="str">
        <f t="shared" si="7"/>
        <v>Potential</v>
      </c>
      <c r="AN39" s="116" t="s">
        <v>229</v>
      </c>
      <c r="AO39" s="114">
        <v>2</v>
      </c>
      <c r="AP39" s="25" t="s">
        <v>174</v>
      </c>
    </row>
    <row r="40" spans="1:42" ht="30" x14ac:dyDescent="0.25">
      <c r="A40" s="117">
        <v>44090</v>
      </c>
      <c r="B40" s="76"/>
      <c r="C40" s="25">
        <v>4605732</v>
      </c>
      <c r="D40" s="25" t="s">
        <v>127</v>
      </c>
      <c r="E40" s="77">
        <v>11</v>
      </c>
      <c r="F40" s="78">
        <v>646735</v>
      </c>
      <c r="G40" s="79">
        <v>5554534</v>
      </c>
      <c r="H40" s="77" t="s">
        <v>103</v>
      </c>
      <c r="I40" s="77" t="s">
        <v>94</v>
      </c>
      <c r="J40" s="80">
        <v>112.3</v>
      </c>
      <c r="K40" s="77" t="s">
        <v>224</v>
      </c>
      <c r="L40" s="25" t="s">
        <v>95</v>
      </c>
      <c r="M40" s="25" t="s">
        <v>96</v>
      </c>
      <c r="N40" s="114">
        <v>1.5</v>
      </c>
      <c r="O40" s="114">
        <v>49</v>
      </c>
      <c r="P40" s="116" t="s">
        <v>97</v>
      </c>
      <c r="Q40" s="122"/>
      <c r="R40" s="116" t="s">
        <v>97</v>
      </c>
      <c r="S40" s="116" t="s">
        <v>97</v>
      </c>
      <c r="T40" s="122"/>
      <c r="U40" s="114">
        <v>8</v>
      </c>
      <c r="V40" s="116">
        <v>1.48</v>
      </c>
      <c r="W40" s="114">
        <v>1.3</v>
      </c>
      <c r="X40" s="116" t="s">
        <v>98</v>
      </c>
      <c r="Y40" s="114">
        <v>3.5</v>
      </c>
      <c r="Z40" s="114">
        <v>3.5</v>
      </c>
      <c r="AA40" s="116">
        <v>1.5</v>
      </c>
      <c r="AB40" s="25" t="s">
        <v>97</v>
      </c>
      <c r="AC40" s="25" t="s">
        <v>97</v>
      </c>
      <c r="AD40" s="116" t="s">
        <v>99</v>
      </c>
      <c r="AE40" s="116" t="s">
        <v>109</v>
      </c>
      <c r="AF40" s="22">
        <f t="shared" si="8"/>
        <v>2.3333333333333335</v>
      </c>
      <c r="AG40" s="15">
        <f t="shared" si="1"/>
        <v>6</v>
      </c>
      <c r="AH40" s="7">
        <f t="shared" si="2"/>
        <v>10</v>
      </c>
      <c r="AI40" s="7">
        <f t="shared" si="3"/>
        <v>10</v>
      </c>
      <c r="AJ40" s="7">
        <f t="shared" si="4"/>
        <v>10</v>
      </c>
      <c r="AK40" s="12">
        <f t="shared" si="5"/>
        <v>6</v>
      </c>
      <c r="AL40" s="14">
        <f t="shared" si="9"/>
        <v>42</v>
      </c>
      <c r="AM40" s="16" t="str">
        <f t="shared" si="7"/>
        <v>Barrier</v>
      </c>
      <c r="AN40" s="116" t="s">
        <v>141</v>
      </c>
      <c r="AO40" s="114">
        <v>25</v>
      </c>
      <c r="AP40" s="25" t="s">
        <v>175</v>
      </c>
    </row>
    <row r="41" spans="1:42" ht="30" x14ac:dyDescent="0.25">
      <c r="A41" s="117">
        <v>44091</v>
      </c>
      <c r="B41" s="76"/>
      <c r="C41" s="25">
        <v>4600090</v>
      </c>
      <c r="D41" s="25" t="s">
        <v>127</v>
      </c>
      <c r="E41" s="77">
        <v>11</v>
      </c>
      <c r="F41" s="78">
        <v>651814</v>
      </c>
      <c r="G41" s="79">
        <v>5519652</v>
      </c>
      <c r="H41" s="77" t="s">
        <v>103</v>
      </c>
      <c r="I41" s="77" t="s">
        <v>310</v>
      </c>
      <c r="J41" s="80"/>
      <c r="K41" s="77" t="s">
        <v>217</v>
      </c>
      <c r="L41" s="25" t="s">
        <v>95</v>
      </c>
      <c r="M41" s="25" t="s">
        <v>96</v>
      </c>
      <c r="N41" s="114">
        <v>0.45</v>
      </c>
      <c r="O41" s="114">
        <v>18</v>
      </c>
      <c r="P41" s="116" t="s">
        <v>97</v>
      </c>
      <c r="Q41" s="122"/>
      <c r="R41" s="116" t="s">
        <v>97</v>
      </c>
      <c r="S41" s="116" t="s">
        <v>97</v>
      </c>
      <c r="T41" s="122"/>
      <c r="U41" s="114">
        <v>1</v>
      </c>
      <c r="V41" s="116">
        <v>0</v>
      </c>
      <c r="W41" s="114">
        <v>0</v>
      </c>
      <c r="X41" s="116" t="s">
        <v>97</v>
      </c>
      <c r="Y41" s="114">
        <v>1.5</v>
      </c>
      <c r="Z41" s="114">
        <v>0</v>
      </c>
      <c r="AA41" s="116">
        <v>0</v>
      </c>
      <c r="AB41" s="25" t="s">
        <v>97</v>
      </c>
      <c r="AC41" s="25" t="s">
        <v>97</v>
      </c>
      <c r="AD41" s="116" t="s">
        <v>99</v>
      </c>
      <c r="AE41" s="116" t="s">
        <v>101</v>
      </c>
      <c r="AF41" s="22">
        <f t="shared" si="8"/>
        <v>0</v>
      </c>
      <c r="AG41" s="15">
        <f t="shared" si="1"/>
        <v>3</v>
      </c>
      <c r="AH41" s="7">
        <f t="shared" si="2"/>
        <v>10</v>
      </c>
      <c r="AI41" s="7">
        <f t="shared" si="3"/>
        <v>0</v>
      </c>
      <c r="AJ41" s="7">
        <f t="shared" si="4"/>
        <v>5</v>
      </c>
      <c r="AK41" s="12">
        <f t="shared" si="5"/>
        <v>0</v>
      </c>
      <c r="AL41" s="14">
        <f t="shared" si="9"/>
        <v>18</v>
      </c>
      <c r="AM41" s="16" t="str">
        <f t="shared" si="7"/>
        <v>Potential</v>
      </c>
      <c r="AN41" s="116" t="s">
        <v>229</v>
      </c>
      <c r="AO41" s="114">
        <v>2</v>
      </c>
      <c r="AP41" s="25" t="s">
        <v>176</v>
      </c>
    </row>
    <row r="42" spans="1:42" ht="30" x14ac:dyDescent="0.25">
      <c r="A42" s="117">
        <v>44091</v>
      </c>
      <c r="B42" s="76"/>
      <c r="C42" s="25">
        <v>4600092</v>
      </c>
      <c r="D42" s="25" t="s">
        <v>127</v>
      </c>
      <c r="E42" s="77">
        <v>11</v>
      </c>
      <c r="F42" s="78">
        <v>651701</v>
      </c>
      <c r="G42" s="79">
        <v>5521881</v>
      </c>
      <c r="H42" s="77" t="s">
        <v>206</v>
      </c>
      <c r="I42" s="77" t="s">
        <v>310</v>
      </c>
      <c r="J42" s="80"/>
      <c r="K42" s="77" t="s">
        <v>217</v>
      </c>
      <c r="L42" s="25" t="s">
        <v>95</v>
      </c>
      <c r="M42" s="25" t="s">
        <v>96</v>
      </c>
      <c r="N42" s="114">
        <v>0.8</v>
      </c>
      <c r="O42" s="114">
        <v>17.5</v>
      </c>
      <c r="P42" s="116" t="s">
        <v>97</v>
      </c>
      <c r="Q42" s="122"/>
      <c r="R42" s="116" t="s">
        <v>97</v>
      </c>
      <c r="S42" s="116" t="s">
        <v>97</v>
      </c>
      <c r="T42" s="122"/>
      <c r="U42" s="114">
        <v>0.6</v>
      </c>
      <c r="V42" s="116">
        <v>0</v>
      </c>
      <c r="W42" s="114">
        <v>0</v>
      </c>
      <c r="X42" s="116" t="s">
        <v>97</v>
      </c>
      <c r="Y42" s="114">
        <v>3</v>
      </c>
      <c r="Z42" s="114">
        <v>1.5</v>
      </c>
      <c r="AA42" s="116">
        <v>2.5</v>
      </c>
      <c r="AB42" s="25" t="s">
        <v>97</v>
      </c>
      <c r="AC42" s="25" t="s">
        <v>97</v>
      </c>
      <c r="AD42" s="116" t="s">
        <v>99</v>
      </c>
      <c r="AE42" s="116" t="s">
        <v>101</v>
      </c>
      <c r="AF42" s="22">
        <f t="shared" si="8"/>
        <v>1.875</v>
      </c>
      <c r="AG42" s="15">
        <f t="shared" si="1"/>
        <v>3</v>
      </c>
      <c r="AH42" s="7">
        <f t="shared" si="2"/>
        <v>10</v>
      </c>
      <c r="AI42" s="7">
        <f t="shared" si="3"/>
        <v>0</v>
      </c>
      <c r="AJ42" s="7">
        <f t="shared" si="4"/>
        <v>10</v>
      </c>
      <c r="AK42" s="12">
        <f t="shared" si="5"/>
        <v>6</v>
      </c>
      <c r="AL42" s="14">
        <f t="shared" si="9"/>
        <v>29</v>
      </c>
      <c r="AM42" s="16" t="str">
        <f t="shared" si="7"/>
        <v>Barrier</v>
      </c>
      <c r="AN42" s="116" t="s">
        <v>229</v>
      </c>
      <c r="AO42" s="114">
        <v>2</v>
      </c>
      <c r="AP42" s="25" t="s">
        <v>177</v>
      </c>
    </row>
    <row r="43" spans="1:42" ht="30" x14ac:dyDescent="0.25">
      <c r="A43" s="117">
        <v>44091</v>
      </c>
      <c r="B43" s="76"/>
      <c r="C43" s="25">
        <v>4600039</v>
      </c>
      <c r="D43" s="25" t="s">
        <v>127</v>
      </c>
      <c r="E43" s="77">
        <v>11</v>
      </c>
      <c r="F43" s="78">
        <v>651833</v>
      </c>
      <c r="G43" s="79">
        <v>5522544</v>
      </c>
      <c r="H43" s="77" t="s">
        <v>203</v>
      </c>
      <c r="I43" s="77" t="s">
        <v>310</v>
      </c>
      <c r="J43" s="80"/>
      <c r="K43" s="77" t="s">
        <v>217</v>
      </c>
      <c r="L43" s="25" t="s">
        <v>95</v>
      </c>
      <c r="M43" s="25" t="s">
        <v>96</v>
      </c>
      <c r="N43" s="114">
        <v>0.45</v>
      </c>
      <c r="O43" s="114">
        <v>16</v>
      </c>
      <c r="P43" s="116" t="s">
        <v>98</v>
      </c>
      <c r="Q43" s="114">
        <v>7.0000000000000007E-2</v>
      </c>
      <c r="R43" s="116" t="s">
        <v>98</v>
      </c>
      <c r="S43" s="116" t="s">
        <v>97</v>
      </c>
      <c r="T43" s="122"/>
      <c r="U43" s="114">
        <v>1</v>
      </c>
      <c r="V43" s="116">
        <v>0</v>
      </c>
      <c r="W43" s="114">
        <v>7.0000000000000007E-2</v>
      </c>
      <c r="X43" s="116" t="s">
        <v>97</v>
      </c>
      <c r="Y43" s="114">
        <v>3.5</v>
      </c>
      <c r="Z43" s="114">
        <v>3.8</v>
      </c>
      <c r="AA43" s="116">
        <v>1</v>
      </c>
      <c r="AB43" s="25" t="s">
        <v>97</v>
      </c>
      <c r="AC43" s="25" t="s">
        <v>97</v>
      </c>
      <c r="AD43" s="116" t="s">
        <v>99</v>
      </c>
      <c r="AE43" s="116" t="s">
        <v>100</v>
      </c>
      <c r="AF43" s="22">
        <f t="shared" si="8"/>
        <v>8.4444444444444446</v>
      </c>
      <c r="AG43" s="15">
        <f t="shared" si="1"/>
        <v>3</v>
      </c>
      <c r="AH43" s="7">
        <f t="shared" si="2"/>
        <v>5</v>
      </c>
      <c r="AI43" s="7">
        <f t="shared" si="3"/>
        <v>0</v>
      </c>
      <c r="AJ43" s="7">
        <f t="shared" si="4"/>
        <v>10</v>
      </c>
      <c r="AK43" s="12">
        <f t="shared" si="5"/>
        <v>6</v>
      </c>
      <c r="AL43" s="14">
        <f t="shared" si="9"/>
        <v>24</v>
      </c>
      <c r="AM43" s="16" t="str">
        <f t="shared" si="7"/>
        <v>Barrier</v>
      </c>
      <c r="AN43" s="116" t="s">
        <v>141</v>
      </c>
      <c r="AO43" s="114">
        <v>10</v>
      </c>
      <c r="AP43" s="25" t="s">
        <v>178</v>
      </c>
    </row>
    <row r="44" spans="1:42" ht="30" x14ac:dyDescent="0.25">
      <c r="A44" s="117">
        <v>44091</v>
      </c>
      <c r="B44" s="76"/>
      <c r="C44" s="25">
        <v>4600070</v>
      </c>
      <c r="D44" s="25" t="s">
        <v>127</v>
      </c>
      <c r="E44" s="77">
        <v>11</v>
      </c>
      <c r="F44" s="78">
        <v>651516</v>
      </c>
      <c r="G44" s="79">
        <v>5528829</v>
      </c>
      <c r="H44" s="77" t="s">
        <v>204</v>
      </c>
      <c r="I44" s="77" t="s">
        <v>110</v>
      </c>
      <c r="J44" s="80"/>
      <c r="K44" s="77" t="s">
        <v>219</v>
      </c>
      <c r="L44" s="25" t="s">
        <v>95</v>
      </c>
      <c r="M44" s="25" t="s">
        <v>96</v>
      </c>
      <c r="N44" s="114">
        <v>2.5</v>
      </c>
      <c r="O44" s="114">
        <v>35</v>
      </c>
      <c r="P44" s="116" t="s">
        <v>98</v>
      </c>
      <c r="Q44" s="114">
        <v>0.05</v>
      </c>
      <c r="R44" s="116" t="s">
        <v>98</v>
      </c>
      <c r="S44" s="116" t="s">
        <v>97</v>
      </c>
      <c r="T44" s="122"/>
      <c r="U44" s="114">
        <v>3</v>
      </c>
      <c r="V44" s="116">
        <v>0</v>
      </c>
      <c r="W44" s="114">
        <v>1.7</v>
      </c>
      <c r="X44" s="116" t="s">
        <v>97</v>
      </c>
      <c r="Y44" s="114">
        <v>2.5</v>
      </c>
      <c r="Z44" s="114">
        <v>6.1</v>
      </c>
      <c r="AA44" s="116">
        <v>1.5</v>
      </c>
      <c r="AB44" s="25" t="s">
        <v>97</v>
      </c>
      <c r="AC44" s="25" t="s">
        <v>98</v>
      </c>
      <c r="AD44" s="116" t="s">
        <v>99</v>
      </c>
      <c r="AE44" s="116" t="s">
        <v>100</v>
      </c>
      <c r="AF44" s="22">
        <f t="shared" si="8"/>
        <v>2.44</v>
      </c>
      <c r="AG44" s="15">
        <f t="shared" si="1"/>
        <v>6</v>
      </c>
      <c r="AH44" s="7">
        <f t="shared" si="2"/>
        <v>5</v>
      </c>
      <c r="AI44" s="7">
        <f t="shared" si="3"/>
        <v>0</v>
      </c>
      <c r="AJ44" s="7">
        <f t="shared" si="4"/>
        <v>5</v>
      </c>
      <c r="AK44" s="12">
        <f t="shared" si="5"/>
        <v>6</v>
      </c>
      <c r="AL44" s="14">
        <f t="shared" si="9"/>
        <v>22</v>
      </c>
      <c r="AM44" s="16" t="str">
        <f t="shared" si="7"/>
        <v>Barrier</v>
      </c>
      <c r="AN44" s="116" t="s">
        <v>141</v>
      </c>
      <c r="AO44" s="114">
        <v>12.2</v>
      </c>
      <c r="AP44" s="25" t="s">
        <v>179</v>
      </c>
    </row>
    <row r="45" spans="1:42" ht="30" x14ac:dyDescent="0.25">
      <c r="A45" s="117">
        <v>44092</v>
      </c>
      <c r="B45" s="76"/>
      <c r="C45" s="25">
        <v>4600181</v>
      </c>
      <c r="D45" s="25" t="s">
        <v>127</v>
      </c>
      <c r="E45" s="77">
        <v>11</v>
      </c>
      <c r="F45" s="78">
        <v>652322</v>
      </c>
      <c r="G45" s="79">
        <v>5527529</v>
      </c>
      <c r="H45" s="77" t="s">
        <v>103</v>
      </c>
      <c r="I45" s="77" t="s">
        <v>311</v>
      </c>
      <c r="J45" s="80"/>
      <c r="K45" s="77" t="s">
        <v>218</v>
      </c>
      <c r="L45" s="25" t="s">
        <v>95</v>
      </c>
      <c r="M45" s="25" t="s">
        <v>96</v>
      </c>
      <c r="N45" s="114">
        <v>0.6</v>
      </c>
      <c r="O45" s="114">
        <v>73</v>
      </c>
      <c r="P45" s="116" t="s">
        <v>97</v>
      </c>
      <c r="Q45" s="122"/>
      <c r="R45" s="116" t="s">
        <v>97</v>
      </c>
      <c r="S45" s="116" t="s">
        <v>97</v>
      </c>
      <c r="T45" s="122"/>
      <c r="U45" s="114">
        <v>3.5</v>
      </c>
      <c r="V45" s="116">
        <v>0</v>
      </c>
      <c r="W45" s="114">
        <v>0</v>
      </c>
      <c r="X45" s="116" t="s">
        <v>97</v>
      </c>
      <c r="Y45" s="114">
        <v>2</v>
      </c>
      <c r="Z45" s="114">
        <v>0.5</v>
      </c>
      <c r="AA45" s="116">
        <v>2</v>
      </c>
      <c r="AB45" s="25" t="s">
        <v>97</v>
      </c>
      <c r="AC45" s="25" t="s">
        <v>97</v>
      </c>
      <c r="AD45" s="116" t="s">
        <v>99</v>
      </c>
      <c r="AE45" s="116" t="s">
        <v>101</v>
      </c>
      <c r="AF45" s="22">
        <f t="shared" si="8"/>
        <v>0.83333333333333337</v>
      </c>
      <c r="AG45" s="15">
        <f t="shared" si="1"/>
        <v>6</v>
      </c>
      <c r="AH45" s="7">
        <f t="shared" si="2"/>
        <v>10</v>
      </c>
      <c r="AI45" s="7">
        <f t="shared" si="3"/>
        <v>0</v>
      </c>
      <c r="AJ45" s="7">
        <f t="shared" si="4"/>
        <v>5</v>
      </c>
      <c r="AK45" s="12">
        <f t="shared" si="5"/>
        <v>0</v>
      </c>
      <c r="AL45" s="14">
        <f t="shared" si="9"/>
        <v>21</v>
      </c>
      <c r="AM45" s="16" t="str">
        <f t="shared" si="7"/>
        <v>Barrier</v>
      </c>
      <c r="AN45" s="116" t="s">
        <v>229</v>
      </c>
      <c r="AO45" s="114">
        <v>2</v>
      </c>
      <c r="AP45" s="25" t="s">
        <v>180</v>
      </c>
    </row>
    <row r="46" spans="1:42" ht="30" x14ac:dyDescent="0.25">
      <c r="A46" s="117">
        <v>44092</v>
      </c>
      <c r="B46" s="76"/>
      <c r="C46" s="25">
        <v>4600186</v>
      </c>
      <c r="D46" s="25" t="s">
        <v>127</v>
      </c>
      <c r="E46" s="77">
        <v>11</v>
      </c>
      <c r="F46" s="78">
        <v>651051</v>
      </c>
      <c r="G46" s="79">
        <v>5519343</v>
      </c>
      <c r="H46" s="77" t="s">
        <v>211</v>
      </c>
      <c r="I46" s="77" t="s">
        <v>110</v>
      </c>
      <c r="J46" s="80"/>
      <c r="K46" s="77" t="s">
        <v>219</v>
      </c>
      <c r="L46" s="25" t="s">
        <v>95</v>
      </c>
      <c r="M46" s="25" t="s">
        <v>96</v>
      </c>
      <c r="N46" s="114">
        <v>0.8</v>
      </c>
      <c r="O46" s="114">
        <v>22</v>
      </c>
      <c r="P46" s="116" t="s">
        <v>97</v>
      </c>
      <c r="Q46" s="122"/>
      <c r="R46" s="116" t="s">
        <v>97</v>
      </c>
      <c r="S46" s="116" t="s">
        <v>97</v>
      </c>
      <c r="T46" s="122"/>
      <c r="U46" s="114">
        <v>0.8</v>
      </c>
      <c r="V46" s="116">
        <v>0.46</v>
      </c>
      <c r="W46" s="114">
        <v>0.36</v>
      </c>
      <c r="X46" s="116" t="s">
        <v>97</v>
      </c>
      <c r="Y46" s="114">
        <v>4</v>
      </c>
      <c r="Z46" s="114">
        <v>1.1000000000000001</v>
      </c>
      <c r="AA46" s="116">
        <v>2</v>
      </c>
      <c r="AB46" s="25" t="s">
        <v>97</v>
      </c>
      <c r="AC46" s="25" t="s">
        <v>97</v>
      </c>
      <c r="AD46" s="116" t="s">
        <v>99</v>
      </c>
      <c r="AE46" s="116" t="s">
        <v>101</v>
      </c>
      <c r="AF46" s="22">
        <f t="shared" si="8"/>
        <v>1.375</v>
      </c>
      <c r="AG46" s="15">
        <f t="shared" si="1"/>
        <v>3</v>
      </c>
      <c r="AH46" s="7">
        <f t="shared" si="2"/>
        <v>10</v>
      </c>
      <c r="AI46" s="7">
        <f t="shared" si="3"/>
        <v>10</v>
      </c>
      <c r="AJ46" s="7">
        <f t="shared" si="4"/>
        <v>10</v>
      </c>
      <c r="AK46" s="12">
        <f t="shared" si="5"/>
        <v>6</v>
      </c>
      <c r="AL46" s="14">
        <f t="shared" si="9"/>
        <v>39</v>
      </c>
      <c r="AM46" s="16" t="str">
        <f t="shared" si="7"/>
        <v>Barrier</v>
      </c>
      <c r="AN46" s="116" t="s">
        <v>229</v>
      </c>
      <c r="AO46" s="114">
        <v>2</v>
      </c>
      <c r="AP46" s="25" t="s">
        <v>181</v>
      </c>
    </row>
    <row r="47" spans="1:42" ht="30" x14ac:dyDescent="0.25">
      <c r="A47" s="117">
        <v>44092</v>
      </c>
      <c r="B47" s="76"/>
      <c r="C47" s="25">
        <v>4600140</v>
      </c>
      <c r="D47" s="25" t="s">
        <v>127</v>
      </c>
      <c r="E47" s="77">
        <v>11</v>
      </c>
      <c r="F47" s="78">
        <v>651110</v>
      </c>
      <c r="G47" s="79">
        <v>5515356</v>
      </c>
      <c r="H47" s="77" t="s">
        <v>212</v>
      </c>
      <c r="I47" s="77" t="s">
        <v>110</v>
      </c>
      <c r="J47" s="80"/>
      <c r="K47" s="77" t="s">
        <v>217</v>
      </c>
      <c r="L47" s="25" t="s">
        <v>95</v>
      </c>
      <c r="M47" s="25" t="s">
        <v>96</v>
      </c>
      <c r="N47" s="114">
        <v>0.9</v>
      </c>
      <c r="O47" s="114">
        <v>22</v>
      </c>
      <c r="P47" s="116" t="s">
        <v>97</v>
      </c>
      <c r="Q47" s="122"/>
      <c r="R47" s="116" t="s">
        <v>97</v>
      </c>
      <c r="S47" s="116" t="s">
        <v>97</v>
      </c>
      <c r="T47" s="122"/>
      <c r="U47" s="114">
        <v>3</v>
      </c>
      <c r="V47" s="116">
        <v>0.18</v>
      </c>
      <c r="W47" s="114">
        <v>0</v>
      </c>
      <c r="X47" s="116" t="s">
        <v>97</v>
      </c>
      <c r="Y47" s="114">
        <v>1.5</v>
      </c>
      <c r="Z47" s="114">
        <v>0.6</v>
      </c>
      <c r="AA47" s="116">
        <v>2</v>
      </c>
      <c r="AB47" s="25" t="s">
        <v>97</v>
      </c>
      <c r="AC47" s="25" t="s">
        <v>97</v>
      </c>
      <c r="AD47" s="116" t="s">
        <v>99</v>
      </c>
      <c r="AE47" s="116" t="s">
        <v>101</v>
      </c>
      <c r="AF47" s="22">
        <f t="shared" si="8"/>
        <v>0.66666666666666663</v>
      </c>
      <c r="AG47" s="15">
        <f t="shared" si="1"/>
        <v>3</v>
      </c>
      <c r="AH47" s="7">
        <f t="shared" si="2"/>
        <v>10</v>
      </c>
      <c r="AI47" s="7">
        <f t="shared" si="3"/>
        <v>5</v>
      </c>
      <c r="AJ47" s="7">
        <f t="shared" si="4"/>
        <v>5</v>
      </c>
      <c r="AK47" s="12">
        <f t="shared" si="5"/>
        <v>0</v>
      </c>
      <c r="AL47" s="14">
        <f t="shared" si="9"/>
        <v>23</v>
      </c>
      <c r="AM47" s="16" t="str">
        <f t="shared" si="7"/>
        <v>Barrier</v>
      </c>
      <c r="AN47" s="116" t="s">
        <v>229</v>
      </c>
      <c r="AO47" s="114">
        <v>2</v>
      </c>
      <c r="AP47" s="25" t="s">
        <v>182</v>
      </c>
    </row>
    <row r="48" spans="1:42" x14ac:dyDescent="0.25">
      <c r="A48" s="117">
        <v>44094</v>
      </c>
      <c r="B48" s="76"/>
      <c r="C48" s="25">
        <v>4601129</v>
      </c>
      <c r="D48" s="25" t="s">
        <v>127</v>
      </c>
      <c r="E48" s="77">
        <v>11</v>
      </c>
      <c r="F48" s="78">
        <v>661062</v>
      </c>
      <c r="G48" s="79">
        <v>5524446</v>
      </c>
      <c r="H48" s="77" t="s">
        <v>213</v>
      </c>
      <c r="I48" s="77"/>
      <c r="J48" s="80"/>
      <c r="K48" s="77" t="s">
        <v>231</v>
      </c>
      <c r="L48" s="25" t="s">
        <v>111</v>
      </c>
      <c r="M48" s="25" t="s">
        <v>112</v>
      </c>
      <c r="N48" s="122"/>
      <c r="O48" s="122"/>
      <c r="P48" s="121"/>
      <c r="Q48" s="122"/>
      <c r="R48" s="121"/>
      <c r="S48" s="121"/>
      <c r="T48" s="122"/>
      <c r="U48" s="122"/>
      <c r="V48" s="121"/>
      <c r="W48" s="122"/>
      <c r="X48" s="121"/>
      <c r="Y48" s="122"/>
      <c r="Z48" s="122"/>
      <c r="AA48" s="121"/>
      <c r="AB48" s="25" t="s">
        <v>97</v>
      </c>
      <c r="AC48" s="25" t="s">
        <v>97</v>
      </c>
      <c r="AD48" s="121"/>
      <c r="AE48" s="121"/>
      <c r="AF48" s="22">
        <f t="shared" si="8"/>
        <v>0</v>
      </c>
      <c r="AG48" s="15">
        <f t="shared" si="1"/>
        <v>0</v>
      </c>
      <c r="AH48" s="7">
        <f t="shared" si="2"/>
        <v>0</v>
      </c>
      <c r="AI48" s="7">
        <f t="shared" si="3"/>
        <v>0</v>
      </c>
      <c r="AJ48" s="7">
        <f t="shared" si="4"/>
        <v>0</v>
      </c>
      <c r="AK48" s="12">
        <f t="shared" si="5"/>
        <v>0</v>
      </c>
      <c r="AL48" s="14">
        <f t="shared" si="9"/>
        <v>0</v>
      </c>
      <c r="AM48" s="16" t="str">
        <f t="shared" si="7"/>
        <v>Unknown</v>
      </c>
      <c r="AN48" s="125"/>
      <c r="AO48" s="122"/>
      <c r="AP48" s="25" t="s">
        <v>183</v>
      </c>
    </row>
    <row r="49" spans="1:42" x14ac:dyDescent="0.25">
      <c r="A49" s="117">
        <v>44094</v>
      </c>
      <c r="B49" s="76"/>
      <c r="C49" s="25">
        <v>4602533</v>
      </c>
      <c r="D49" s="25" t="s">
        <v>127</v>
      </c>
      <c r="E49" s="77">
        <v>11</v>
      </c>
      <c r="F49" s="78">
        <v>661172</v>
      </c>
      <c r="G49" s="79">
        <v>5524451</v>
      </c>
      <c r="H49" s="77" t="s">
        <v>213</v>
      </c>
      <c r="I49" s="77"/>
      <c r="J49" s="80"/>
      <c r="K49" s="77" t="s">
        <v>231</v>
      </c>
      <c r="L49" s="25" t="s">
        <v>95</v>
      </c>
      <c r="M49" s="25" t="s">
        <v>96</v>
      </c>
      <c r="N49" s="114">
        <v>0.6</v>
      </c>
      <c r="O49" s="114">
        <v>7.5</v>
      </c>
      <c r="P49" s="116" t="s">
        <v>97</v>
      </c>
      <c r="Q49" s="122"/>
      <c r="R49" s="116" t="s">
        <v>97</v>
      </c>
      <c r="S49" s="116" t="s">
        <v>97</v>
      </c>
      <c r="T49" s="122"/>
      <c r="U49" s="114">
        <v>0.35</v>
      </c>
      <c r="V49" s="116">
        <v>0</v>
      </c>
      <c r="W49" s="114">
        <v>0</v>
      </c>
      <c r="X49" s="116" t="s">
        <v>97</v>
      </c>
      <c r="Y49" s="114">
        <v>4</v>
      </c>
      <c r="Z49" s="114">
        <v>0.1</v>
      </c>
      <c r="AA49" s="116">
        <v>1</v>
      </c>
      <c r="AB49" s="25" t="s">
        <v>97</v>
      </c>
      <c r="AC49" s="25" t="s">
        <v>97</v>
      </c>
      <c r="AD49" s="116" t="s">
        <v>99</v>
      </c>
      <c r="AE49" s="116" t="s">
        <v>101</v>
      </c>
      <c r="AF49" s="22">
        <f t="shared" si="8"/>
        <v>0.16666666666666669</v>
      </c>
      <c r="AG49" s="15">
        <f t="shared" si="1"/>
        <v>0</v>
      </c>
      <c r="AH49" s="7">
        <f t="shared" si="2"/>
        <v>10</v>
      </c>
      <c r="AI49" s="7">
        <f t="shared" si="3"/>
        <v>0</v>
      </c>
      <c r="AJ49" s="7">
        <f t="shared" si="4"/>
        <v>10</v>
      </c>
      <c r="AK49" s="12">
        <f t="shared" si="5"/>
        <v>0</v>
      </c>
      <c r="AL49" s="14">
        <f t="shared" si="9"/>
        <v>20</v>
      </c>
      <c r="AM49" s="16" t="str">
        <f t="shared" si="7"/>
        <v>Barrier</v>
      </c>
      <c r="AN49" s="116" t="s">
        <v>229</v>
      </c>
      <c r="AO49" s="114">
        <v>2</v>
      </c>
      <c r="AP49" s="25" t="s">
        <v>184</v>
      </c>
    </row>
    <row r="50" spans="1:42" ht="30" x14ac:dyDescent="0.25">
      <c r="A50" s="117">
        <v>44094</v>
      </c>
      <c r="B50" s="76"/>
      <c r="C50" s="25">
        <v>4602270</v>
      </c>
      <c r="D50" s="25" t="s">
        <v>127</v>
      </c>
      <c r="E50" s="77">
        <v>11</v>
      </c>
      <c r="F50" s="78">
        <v>655441</v>
      </c>
      <c r="G50" s="79">
        <v>5524175</v>
      </c>
      <c r="H50" s="77" t="s">
        <v>214</v>
      </c>
      <c r="I50" s="77"/>
      <c r="J50" s="80"/>
      <c r="K50" s="77" t="s">
        <v>231</v>
      </c>
      <c r="L50" s="25" t="s">
        <v>95</v>
      </c>
      <c r="M50" s="25" t="s">
        <v>96</v>
      </c>
      <c r="N50" s="114">
        <v>0.9</v>
      </c>
      <c r="O50" s="114">
        <v>14</v>
      </c>
      <c r="P50" s="116" t="s">
        <v>97</v>
      </c>
      <c r="Q50" s="122"/>
      <c r="R50" s="116" t="s">
        <v>97</v>
      </c>
      <c r="S50" s="116" t="s">
        <v>97</v>
      </c>
      <c r="T50" s="122"/>
      <c r="U50" s="114">
        <v>2</v>
      </c>
      <c r="V50" s="116">
        <v>0</v>
      </c>
      <c r="W50" s="114">
        <v>0</v>
      </c>
      <c r="X50" s="116" t="s">
        <v>98</v>
      </c>
      <c r="Y50" s="114">
        <v>4</v>
      </c>
      <c r="Z50" s="114">
        <v>1.5</v>
      </c>
      <c r="AA50" s="116">
        <v>3</v>
      </c>
      <c r="AB50" s="25" t="s">
        <v>97</v>
      </c>
      <c r="AC50" s="25" t="s">
        <v>97</v>
      </c>
      <c r="AD50" s="116" t="s">
        <v>99</v>
      </c>
      <c r="AE50" s="116" t="s">
        <v>101</v>
      </c>
      <c r="AF50" s="22">
        <f t="shared" si="8"/>
        <v>1.6666666666666665</v>
      </c>
      <c r="AG50" s="15">
        <f t="shared" si="1"/>
        <v>0</v>
      </c>
      <c r="AH50" s="7">
        <f t="shared" si="2"/>
        <v>10</v>
      </c>
      <c r="AI50" s="7">
        <f t="shared" si="3"/>
        <v>0</v>
      </c>
      <c r="AJ50" s="7">
        <f t="shared" si="4"/>
        <v>10</v>
      </c>
      <c r="AK50" s="12">
        <f t="shared" si="5"/>
        <v>6</v>
      </c>
      <c r="AL50" s="14">
        <f t="shared" si="9"/>
        <v>26</v>
      </c>
      <c r="AM50" s="16" t="str">
        <f t="shared" si="7"/>
        <v>Barrier</v>
      </c>
      <c r="AN50" s="116" t="s">
        <v>229</v>
      </c>
      <c r="AO50" s="114">
        <v>2</v>
      </c>
      <c r="AP50" s="25" t="s">
        <v>185</v>
      </c>
    </row>
    <row r="51" spans="1:42" ht="30" x14ac:dyDescent="0.25">
      <c r="A51" s="117">
        <v>44097</v>
      </c>
      <c r="B51" s="76"/>
      <c r="C51" s="25">
        <v>2020092310</v>
      </c>
      <c r="D51" s="25" t="s">
        <v>127</v>
      </c>
      <c r="E51" s="77">
        <v>11</v>
      </c>
      <c r="F51" s="78">
        <v>636029</v>
      </c>
      <c r="G51" s="79">
        <v>5484419</v>
      </c>
      <c r="H51" s="77" t="s">
        <v>209</v>
      </c>
      <c r="I51" s="77" t="s">
        <v>119</v>
      </c>
      <c r="J51" s="80">
        <v>1</v>
      </c>
      <c r="K51" s="77" t="s">
        <v>216</v>
      </c>
      <c r="L51" s="25" t="s">
        <v>116</v>
      </c>
      <c r="M51" s="25" t="s">
        <v>117</v>
      </c>
      <c r="N51" s="114">
        <v>1.2</v>
      </c>
      <c r="O51" s="114">
        <v>13.5</v>
      </c>
      <c r="P51" s="121"/>
      <c r="Q51" s="122"/>
      <c r="R51" s="121"/>
      <c r="S51" s="121"/>
      <c r="T51" s="122"/>
      <c r="U51" s="122"/>
      <c r="V51" s="121"/>
      <c r="W51" s="122"/>
      <c r="X51" s="121"/>
      <c r="Y51" s="122"/>
      <c r="Z51" s="122"/>
      <c r="AA51" s="121"/>
      <c r="AB51" s="25" t="s">
        <v>97</v>
      </c>
      <c r="AC51" s="25" t="s">
        <v>97</v>
      </c>
      <c r="AD51" s="121"/>
      <c r="AE51" s="121"/>
      <c r="AF51" s="22">
        <f t="shared" si="8"/>
        <v>0</v>
      </c>
      <c r="AG51" s="15">
        <f t="shared" si="1"/>
        <v>0</v>
      </c>
      <c r="AH51" s="7">
        <f t="shared" si="2"/>
        <v>0</v>
      </c>
      <c r="AI51" s="7">
        <f t="shared" si="3"/>
        <v>0</v>
      </c>
      <c r="AJ51" s="7">
        <f t="shared" si="4"/>
        <v>0</v>
      </c>
      <c r="AK51" s="12">
        <f t="shared" si="5"/>
        <v>0</v>
      </c>
      <c r="AL51" s="14">
        <f t="shared" si="9"/>
        <v>0</v>
      </c>
      <c r="AM51" s="16" t="str">
        <f t="shared" si="7"/>
        <v>Passable</v>
      </c>
      <c r="AN51" s="121"/>
      <c r="AO51" s="122"/>
      <c r="AP51" s="25" t="s">
        <v>186</v>
      </c>
    </row>
    <row r="52" spans="1:42" ht="30" x14ac:dyDescent="0.25">
      <c r="A52" s="117">
        <v>44097</v>
      </c>
      <c r="B52" s="76"/>
      <c r="C52" s="25">
        <v>4600130</v>
      </c>
      <c r="D52" s="25" t="s">
        <v>127</v>
      </c>
      <c r="E52" s="77">
        <v>11</v>
      </c>
      <c r="F52" s="78">
        <v>640037</v>
      </c>
      <c r="G52" s="79">
        <v>5483655</v>
      </c>
      <c r="H52" s="77" t="s">
        <v>103</v>
      </c>
      <c r="I52" s="77" t="s">
        <v>129</v>
      </c>
      <c r="J52" s="80"/>
      <c r="K52" s="77" t="s">
        <v>223</v>
      </c>
      <c r="L52" s="25" t="s">
        <v>95</v>
      </c>
      <c r="M52" s="25" t="s">
        <v>96</v>
      </c>
      <c r="N52" s="114">
        <v>1.2</v>
      </c>
      <c r="O52" s="114">
        <v>22</v>
      </c>
      <c r="P52" s="116" t="s">
        <v>97</v>
      </c>
      <c r="Q52" s="122"/>
      <c r="R52" s="116" t="s">
        <v>97</v>
      </c>
      <c r="S52" s="116" t="s">
        <v>98</v>
      </c>
      <c r="T52" s="114">
        <v>20</v>
      </c>
      <c r="U52" s="114">
        <v>8</v>
      </c>
      <c r="V52" s="116">
        <v>0</v>
      </c>
      <c r="W52" s="114">
        <v>0</v>
      </c>
      <c r="X52" s="116" t="s">
        <v>98</v>
      </c>
      <c r="Y52" s="114">
        <v>9</v>
      </c>
      <c r="Z52" s="114">
        <v>0.65</v>
      </c>
      <c r="AA52" s="116">
        <v>9</v>
      </c>
      <c r="AB52" s="25" t="s">
        <v>97</v>
      </c>
      <c r="AC52" s="25" t="s">
        <v>97</v>
      </c>
      <c r="AD52" s="116" t="s">
        <v>99</v>
      </c>
      <c r="AE52" s="116" t="s">
        <v>101</v>
      </c>
      <c r="AF52" s="22">
        <f t="shared" si="8"/>
        <v>0.54166666666666674</v>
      </c>
      <c r="AG52" s="15">
        <f t="shared" si="1"/>
        <v>3</v>
      </c>
      <c r="AH52" s="7">
        <f t="shared" si="2"/>
        <v>10</v>
      </c>
      <c r="AI52" s="7">
        <f t="shared" si="3"/>
        <v>0</v>
      </c>
      <c r="AJ52" s="7">
        <f t="shared" si="4"/>
        <v>10</v>
      </c>
      <c r="AK52" s="12">
        <f t="shared" si="5"/>
        <v>0</v>
      </c>
      <c r="AL52" s="14">
        <f t="shared" si="9"/>
        <v>23</v>
      </c>
      <c r="AM52" s="16" t="str">
        <f t="shared" si="7"/>
        <v>Barrier</v>
      </c>
      <c r="AN52" s="116" t="s">
        <v>229</v>
      </c>
      <c r="AO52" s="114">
        <v>2</v>
      </c>
      <c r="AP52" s="25" t="s">
        <v>187</v>
      </c>
    </row>
    <row r="53" spans="1:42" ht="30" x14ac:dyDescent="0.25">
      <c r="A53" s="117">
        <v>44097</v>
      </c>
      <c r="B53" s="76"/>
      <c r="C53" s="25">
        <v>4606807</v>
      </c>
      <c r="D53" s="25" t="s">
        <v>127</v>
      </c>
      <c r="E53" s="77">
        <v>11</v>
      </c>
      <c r="F53" s="78">
        <v>639952</v>
      </c>
      <c r="G53" s="79">
        <v>5483636</v>
      </c>
      <c r="H53" s="77" t="s">
        <v>103</v>
      </c>
      <c r="I53" s="77" t="s">
        <v>124</v>
      </c>
      <c r="J53" s="80"/>
      <c r="K53" s="77" t="s">
        <v>222</v>
      </c>
      <c r="L53" s="25" t="s">
        <v>95</v>
      </c>
      <c r="M53" s="25" t="s">
        <v>130</v>
      </c>
      <c r="N53" s="114">
        <v>1.2</v>
      </c>
      <c r="O53" s="114">
        <v>9</v>
      </c>
      <c r="P53" s="116" t="s">
        <v>98</v>
      </c>
      <c r="Q53" s="114">
        <v>0.09</v>
      </c>
      <c r="R53" s="116" t="s">
        <v>97</v>
      </c>
      <c r="S53" s="116" t="s">
        <v>97</v>
      </c>
      <c r="T53" s="122"/>
      <c r="U53" s="114">
        <v>6</v>
      </c>
      <c r="V53" s="116">
        <v>0</v>
      </c>
      <c r="W53" s="114">
        <v>0</v>
      </c>
      <c r="X53" s="116" t="s">
        <v>97</v>
      </c>
      <c r="Y53" s="114">
        <v>1.5</v>
      </c>
      <c r="Z53" s="114">
        <v>1.5</v>
      </c>
      <c r="AA53" s="116">
        <v>30</v>
      </c>
      <c r="AB53" s="25" t="s">
        <v>97</v>
      </c>
      <c r="AC53" s="25" t="s">
        <v>97</v>
      </c>
      <c r="AD53" s="116" t="s">
        <v>99</v>
      </c>
      <c r="AE53" s="116" t="s">
        <v>101</v>
      </c>
      <c r="AF53" s="22">
        <f t="shared" si="8"/>
        <v>1.25</v>
      </c>
      <c r="AG53" s="15">
        <f t="shared" si="1"/>
        <v>0</v>
      </c>
      <c r="AH53" s="7">
        <f t="shared" si="2"/>
        <v>5</v>
      </c>
      <c r="AI53" s="7">
        <f t="shared" si="3"/>
        <v>0</v>
      </c>
      <c r="AJ53" s="7">
        <f t="shared" si="4"/>
        <v>5</v>
      </c>
      <c r="AK53" s="12">
        <f t="shared" si="5"/>
        <v>3</v>
      </c>
      <c r="AL53" s="14">
        <f t="shared" si="9"/>
        <v>13</v>
      </c>
      <c r="AM53" s="16" t="str">
        <f t="shared" si="7"/>
        <v>Passable</v>
      </c>
      <c r="AN53" s="121"/>
      <c r="AO53" s="122"/>
      <c r="AP53" s="25" t="s">
        <v>188</v>
      </c>
    </row>
    <row r="54" spans="1:42" ht="30" x14ac:dyDescent="0.25">
      <c r="A54" s="117">
        <v>44097</v>
      </c>
      <c r="B54" s="76"/>
      <c r="C54" s="25">
        <v>4600080</v>
      </c>
      <c r="D54" s="25" t="s">
        <v>127</v>
      </c>
      <c r="E54" s="77">
        <v>11</v>
      </c>
      <c r="F54" s="78">
        <v>640568</v>
      </c>
      <c r="G54" s="79">
        <v>5481516</v>
      </c>
      <c r="H54" s="77" t="s">
        <v>103</v>
      </c>
      <c r="I54" s="77" t="s">
        <v>129</v>
      </c>
      <c r="J54" s="80"/>
      <c r="K54" s="77" t="s">
        <v>218</v>
      </c>
      <c r="L54" s="25" t="s">
        <v>95</v>
      </c>
      <c r="M54" s="25" t="s">
        <v>96</v>
      </c>
      <c r="N54" s="114">
        <v>1.1000000000000001</v>
      </c>
      <c r="O54" s="114">
        <v>43</v>
      </c>
      <c r="P54" s="116" t="s">
        <v>97</v>
      </c>
      <c r="Q54" s="122"/>
      <c r="R54" s="116" t="s">
        <v>97</v>
      </c>
      <c r="S54" s="116" t="s">
        <v>97</v>
      </c>
      <c r="T54" s="122"/>
      <c r="U54" s="114">
        <v>2</v>
      </c>
      <c r="V54" s="116">
        <v>0</v>
      </c>
      <c r="W54" s="114">
        <v>0</v>
      </c>
      <c r="X54" s="116" t="s">
        <v>97</v>
      </c>
      <c r="Y54" s="114">
        <v>4</v>
      </c>
      <c r="Z54" s="114">
        <v>2.1</v>
      </c>
      <c r="AA54" s="116">
        <v>3.5</v>
      </c>
      <c r="AB54" s="25" t="s">
        <v>97</v>
      </c>
      <c r="AC54" s="25" t="s">
        <v>97</v>
      </c>
      <c r="AD54" s="116" t="s">
        <v>99</v>
      </c>
      <c r="AE54" s="116" t="s">
        <v>101</v>
      </c>
      <c r="AF54" s="22">
        <f t="shared" si="8"/>
        <v>1.9090909090909089</v>
      </c>
      <c r="AG54" s="15">
        <f t="shared" si="1"/>
        <v>6</v>
      </c>
      <c r="AH54" s="7">
        <f t="shared" si="2"/>
        <v>10</v>
      </c>
      <c r="AI54" s="7">
        <f t="shared" si="3"/>
        <v>0</v>
      </c>
      <c r="AJ54" s="7">
        <f t="shared" si="4"/>
        <v>10</v>
      </c>
      <c r="AK54" s="12">
        <f t="shared" si="5"/>
        <v>6</v>
      </c>
      <c r="AL54" s="14">
        <f t="shared" si="9"/>
        <v>32</v>
      </c>
      <c r="AM54" s="16" t="str">
        <f t="shared" si="7"/>
        <v>Barrier</v>
      </c>
      <c r="AN54" s="116" t="s">
        <v>141</v>
      </c>
      <c r="AO54" s="114">
        <v>10</v>
      </c>
      <c r="AP54" s="25" t="s">
        <v>189</v>
      </c>
    </row>
    <row r="55" spans="1:42" x14ac:dyDescent="0.25">
      <c r="A55" s="117">
        <v>44097</v>
      </c>
      <c r="B55" s="76"/>
      <c r="C55" s="25">
        <v>4603291</v>
      </c>
      <c r="D55" s="25" t="s">
        <v>127</v>
      </c>
      <c r="E55" s="77">
        <v>11</v>
      </c>
      <c r="F55" s="78">
        <v>640891</v>
      </c>
      <c r="G55" s="79">
        <v>5480517</v>
      </c>
      <c r="H55" s="77" t="s">
        <v>215</v>
      </c>
      <c r="I55" s="77" t="s">
        <v>129</v>
      </c>
      <c r="J55" s="80"/>
      <c r="K55" s="77" t="s">
        <v>218</v>
      </c>
      <c r="L55" s="25" t="s">
        <v>95</v>
      </c>
      <c r="M55" s="25" t="s">
        <v>96</v>
      </c>
      <c r="N55" s="114">
        <v>1.2</v>
      </c>
      <c r="O55" s="114">
        <v>13</v>
      </c>
      <c r="P55" s="116" t="s">
        <v>97</v>
      </c>
      <c r="Q55" s="122"/>
      <c r="R55" s="116" t="s">
        <v>97</v>
      </c>
      <c r="S55" s="116" t="s">
        <v>97</v>
      </c>
      <c r="T55" s="122"/>
      <c r="U55" s="114">
        <v>0.5</v>
      </c>
      <c r="V55" s="116">
        <v>0</v>
      </c>
      <c r="W55" s="114">
        <v>0</v>
      </c>
      <c r="X55" s="116" t="s">
        <v>97</v>
      </c>
      <c r="Y55" s="114">
        <v>4</v>
      </c>
      <c r="Z55" s="114">
        <v>4.5</v>
      </c>
      <c r="AA55" s="116">
        <v>4</v>
      </c>
      <c r="AB55" s="25" t="s">
        <v>97</v>
      </c>
      <c r="AC55" s="25" t="s">
        <v>97</v>
      </c>
      <c r="AD55" s="116" t="s">
        <v>99</v>
      </c>
      <c r="AE55" s="116" t="s">
        <v>101</v>
      </c>
      <c r="AF55" s="22">
        <f t="shared" si="8"/>
        <v>3.75</v>
      </c>
      <c r="AG55" s="15">
        <f t="shared" si="1"/>
        <v>0</v>
      </c>
      <c r="AH55" s="7">
        <f t="shared" si="2"/>
        <v>10</v>
      </c>
      <c r="AI55" s="7">
        <f t="shared" si="3"/>
        <v>0</v>
      </c>
      <c r="AJ55" s="7">
        <f t="shared" si="4"/>
        <v>10</v>
      </c>
      <c r="AK55" s="12">
        <f t="shared" si="5"/>
        <v>6</v>
      </c>
      <c r="AL55" s="14">
        <f t="shared" si="9"/>
        <v>26</v>
      </c>
      <c r="AM55" s="16" t="str">
        <f t="shared" si="7"/>
        <v>Barrier</v>
      </c>
      <c r="AN55" s="116" t="s">
        <v>141</v>
      </c>
      <c r="AO55" s="114">
        <v>10</v>
      </c>
      <c r="AP55" s="25" t="s">
        <v>190</v>
      </c>
    </row>
    <row r="56" spans="1:42" ht="30" x14ac:dyDescent="0.25">
      <c r="A56" s="117">
        <v>44097</v>
      </c>
      <c r="B56" s="76"/>
      <c r="C56" s="25">
        <v>4600316</v>
      </c>
      <c r="D56" s="25" t="s">
        <v>127</v>
      </c>
      <c r="E56" s="77">
        <v>11</v>
      </c>
      <c r="F56" s="78">
        <v>641167</v>
      </c>
      <c r="G56" s="79">
        <v>5479429</v>
      </c>
      <c r="H56" s="77" t="s">
        <v>103</v>
      </c>
      <c r="I56" s="77" t="s">
        <v>129</v>
      </c>
      <c r="J56" s="80"/>
      <c r="K56" s="77" t="s">
        <v>218</v>
      </c>
      <c r="L56" s="25" t="s">
        <v>95</v>
      </c>
      <c r="M56" s="25" t="s">
        <v>96</v>
      </c>
      <c r="N56" s="114">
        <v>1.2</v>
      </c>
      <c r="O56" s="114">
        <v>12</v>
      </c>
      <c r="P56" s="116" t="s">
        <v>97</v>
      </c>
      <c r="Q56" s="122"/>
      <c r="R56" s="116" t="s">
        <v>97</v>
      </c>
      <c r="S56" s="116" t="s">
        <v>97</v>
      </c>
      <c r="T56" s="122"/>
      <c r="U56" s="114">
        <v>0.5</v>
      </c>
      <c r="V56" s="116">
        <v>0</v>
      </c>
      <c r="W56" s="114">
        <v>0</v>
      </c>
      <c r="X56" s="116" t="s">
        <v>97</v>
      </c>
      <c r="Y56" s="114">
        <v>2.5</v>
      </c>
      <c r="Z56" s="114">
        <v>4.0999999999999996</v>
      </c>
      <c r="AA56" s="116">
        <v>4</v>
      </c>
      <c r="AB56" s="25" t="s">
        <v>97</v>
      </c>
      <c r="AC56" s="25" t="s">
        <v>97</v>
      </c>
      <c r="AD56" s="116" t="s">
        <v>99</v>
      </c>
      <c r="AE56" s="116" t="s">
        <v>101</v>
      </c>
      <c r="AF56" s="22">
        <f t="shared" si="8"/>
        <v>3.4166666666666665</v>
      </c>
      <c r="AG56" s="15">
        <f t="shared" si="1"/>
        <v>0</v>
      </c>
      <c r="AH56" s="7">
        <f t="shared" si="2"/>
        <v>10</v>
      </c>
      <c r="AI56" s="7">
        <f t="shared" si="3"/>
        <v>0</v>
      </c>
      <c r="AJ56" s="7">
        <f t="shared" si="4"/>
        <v>5</v>
      </c>
      <c r="AK56" s="12">
        <f t="shared" si="5"/>
        <v>6</v>
      </c>
      <c r="AL56" s="14">
        <f t="shared" si="9"/>
        <v>21</v>
      </c>
      <c r="AM56" s="16" t="str">
        <f t="shared" si="7"/>
        <v>Barrier</v>
      </c>
      <c r="AN56" s="116" t="s">
        <v>141</v>
      </c>
      <c r="AO56" s="114">
        <v>10</v>
      </c>
      <c r="AP56" s="25" t="s">
        <v>191</v>
      </c>
    </row>
    <row r="57" spans="1:42" ht="30" x14ac:dyDescent="0.25">
      <c r="A57" s="117">
        <v>44097</v>
      </c>
      <c r="B57" s="76"/>
      <c r="C57" s="25">
        <v>4601594</v>
      </c>
      <c r="D57" s="25" t="s">
        <v>127</v>
      </c>
      <c r="E57" s="77">
        <v>11</v>
      </c>
      <c r="F57" s="78">
        <v>641090</v>
      </c>
      <c r="G57" s="79">
        <v>5479392</v>
      </c>
      <c r="H57" s="77" t="s">
        <v>103</v>
      </c>
      <c r="I57" s="77" t="s">
        <v>124</v>
      </c>
      <c r="J57" s="80"/>
      <c r="K57" s="77" t="s">
        <v>222</v>
      </c>
      <c r="L57" s="25" t="s">
        <v>95</v>
      </c>
      <c r="M57" s="25" t="s">
        <v>96</v>
      </c>
      <c r="N57" s="114">
        <v>1.5</v>
      </c>
      <c r="O57" s="114">
        <v>22</v>
      </c>
      <c r="P57" s="116" t="s">
        <v>97</v>
      </c>
      <c r="Q57" s="122"/>
      <c r="R57" s="116" t="s">
        <v>97</v>
      </c>
      <c r="S57" s="116" t="s">
        <v>97</v>
      </c>
      <c r="T57" s="122"/>
      <c r="U57" s="114">
        <v>2</v>
      </c>
      <c r="V57" s="116">
        <v>0</v>
      </c>
      <c r="W57" s="114">
        <v>0</v>
      </c>
      <c r="X57" s="116" t="s">
        <v>97</v>
      </c>
      <c r="Y57" s="114">
        <v>1.5</v>
      </c>
      <c r="Z57" s="114">
        <v>2.7</v>
      </c>
      <c r="AA57" s="116">
        <v>2.5</v>
      </c>
      <c r="AB57" s="25" t="s">
        <v>97</v>
      </c>
      <c r="AC57" s="25" t="s">
        <v>97</v>
      </c>
      <c r="AD57" s="116" t="s">
        <v>99</v>
      </c>
      <c r="AE57" s="116" t="s">
        <v>101</v>
      </c>
      <c r="AF57" s="22">
        <f t="shared" si="8"/>
        <v>1.8</v>
      </c>
      <c r="AG57" s="15">
        <f t="shared" si="1"/>
        <v>3</v>
      </c>
      <c r="AH57" s="7">
        <f t="shared" si="2"/>
        <v>10</v>
      </c>
      <c r="AI57" s="7">
        <f t="shared" si="3"/>
        <v>0</v>
      </c>
      <c r="AJ57" s="7">
        <f t="shared" si="4"/>
        <v>5</v>
      </c>
      <c r="AK57" s="12">
        <f t="shared" si="5"/>
        <v>6</v>
      </c>
      <c r="AL57" s="14">
        <f t="shared" si="9"/>
        <v>24</v>
      </c>
      <c r="AM57" s="16" t="str">
        <f t="shared" si="7"/>
        <v>Barrier</v>
      </c>
      <c r="AN57" s="116" t="s">
        <v>141</v>
      </c>
      <c r="AO57" s="114">
        <v>10</v>
      </c>
      <c r="AP57" s="25" t="s">
        <v>192</v>
      </c>
    </row>
    <row r="58" spans="1:42" ht="30" x14ac:dyDescent="0.25">
      <c r="A58" s="117">
        <v>44098</v>
      </c>
      <c r="B58" s="76"/>
      <c r="C58" s="25">
        <v>4600169</v>
      </c>
      <c r="D58" s="25" t="s">
        <v>127</v>
      </c>
      <c r="E58" s="77">
        <v>11</v>
      </c>
      <c r="F58" s="78">
        <v>638850</v>
      </c>
      <c r="G58" s="79">
        <v>5480833</v>
      </c>
      <c r="H58" s="77" t="s">
        <v>103</v>
      </c>
      <c r="I58" s="77" t="s">
        <v>312</v>
      </c>
      <c r="J58" s="80"/>
      <c r="K58" s="77" t="s">
        <v>218</v>
      </c>
      <c r="L58" s="25" t="s">
        <v>95</v>
      </c>
      <c r="M58" s="25" t="s">
        <v>96</v>
      </c>
      <c r="N58" s="114">
        <v>1</v>
      </c>
      <c r="O58" s="114">
        <v>36</v>
      </c>
      <c r="P58" s="116" t="s">
        <v>97</v>
      </c>
      <c r="Q58" s="122"/>
      <c r="R58" s="116" t="s">
        <v>97</v>
      </c>
      <c r="S58" s="116" t="s">
        <v>97</v>
      </c>
      <c r="T58" s="122"/>
      <c r="U58" s="114">
        <v>6</v>
      </c>
      <c r="V58" s="116">
        <v>0.2</v>
      </c>
      <c r="W58" s="114">
        <v>0.25</v>
      </c>
      <c r="X58" s="116" t="s">
        <v>97</v>
      </c>
      <c r="Y58" s="114">
        <v>13</v>
      </c>
      <c r="Z58" s="114">
        <v>2.2999999999999998</v>
      </c>
      <c r="AA58" s="116">
        <v>11.5</v>
      </c>
      <c r="AB58" s="25" t="s">
        <v>97</v>
      </c>
      <c r="AC58" s="25" t="s">
        <v>97</v>
      </c>
      <c r="AD58" s="116" t="s">
        <v>99</v>
      </c>
      <c r="AE58" s="116" t="s">
        <v>100</v>
      </c>
      <c r="AF58" s="22">
        <f t="shared" si="8"/>
        <v>2.2999999999999998</v>
      </c>
      <c r="AG58" s="15">
        <f t="shared" si="1"/>
        <v>6</v>
      </c>
      <c r="AH58" s="7">
        <f t="shared" si="2"/>
        <v>10</v>
      </c>
      <c r="AI58" s="7">
        <f t="shared" si="3"/>
        <v>5</v>
      </c>
      <c r="AJ58" s="7">
        <f t="shared" si="4"/>
        <v>10</v>
      </c>
      <c r="AK58" s="12">
        <f t="shared" si="5"/>
        <v>6</v>
      </c>
      <c r="AL58" s="14">
        <f t="shared" si="9"/>
        <v>37</v>
      </c>
      <c r="AM58" s="16" t="str">
        <f t="shared" si="7"/>
        <v>Barrier</v>
      </c>
      <c r="AN58" s="116" t="s">
        <v>141</v>
      </c>
      <c r="AO58" s="114">
        <v>19</v>
      </c>
      <c r="AP58" s="25" t="s">
        <v>193</v>
      </c>
    </row>
    <row r="59" spans="1:42" ht="30" x14ac:dyDescent="0.25">
      <c r="A59" s="117">
        <v>44098</v>
      </c>
      <c r="B59" s="76"/>
      <c r="C59" s="25">
        <v>4600134</v>
      </c>
      <c r="D59" s="25" t="s">
        <v>127</v>
      </c>
      <c r="E59" s="77">
        <v>11</v>
      </c>
      <c r="F59" s="78">
        <v>638639</v>
      </c>
      <c r="G59" s="79">
        <v>5480681</v>
      </c>
      <c r="H59" s="77" t="s">
        <v>103</v>
      </c>
      <c r="I59" s="77" t="s">
        <v>131</v>
      </c>
      <c r="J59" s="80"/>
      <c r="K59" s="77" t="s">
        <v>231</v>
      </c>
      <c r="L59" s="25" t="s">
        <v>95</v>
      </c>
      <c r="M59" s="25" t="s">
        <v>96</v>
      </c>
      <c r="N59" s="114">
        <v>0.9</v>
      </c>
      <c r="O59" s="114">
        <v>48</v>
      </c>
      <c r="P59" s="116" t="s">
        <v>97</v>
      </c>
      <c r="Q59" s="122"/>
      <c r="R59" s="116" t="s">
        <v>97</v>
      </c>
      <c r="S59" s="116" t="s">
        <v>97</v>
      </c>
      <c r="T59" s="122"/>
      <c r="U59" s="114">
        <v>3</v>
      </c>
      <c r="V59" s="116">
        <v>0.09</v>
      </c>
      <c r="W59" s="114">
        <v>0.22</v>
      </c>
      <c r="X59" s="116" t="s">
        <v>97</v>
      </c>
      <c r="Y59" s="114">
        <v>9</v>
      </c>
      <c r="Z59" s="114">
        <v>1.4</v>
      </c>
      <c r="AA59" s="116">
        <v>5</v>
      </c>
      <c r="AB59" s="25" t="s">
        <v>97</v>
      </c>
      <c r="AC59" s="25" t="s">
        <v>97</v>
      </c>
      <c r="AD59" s="116" t="s">
        <v>99</v>
      </c>
      <c r="AE59" s="116" t="s">
        <v>101</v>
      </c>
      <c r="AF59" s="22">
        <f t="shared" si="8"/>
        <v>1.5555555555555554</v>
      </c>
      <c r="AG59" s="15">
        <f t="shared" si="1"/>
        <v>6</v>
      </c>
      <c r="AH59" s="7">
        <f t="shared" si="2"/>
        <v>10</v>
      </c>
      <c r="AI59" s="7">
        <f t="shared" si="3"/>
        <v>0</v>
      </c>
      <c r="AJ59" s="7">
        <f t="shared" si="4"/>
        <v>10</v>
      </c>
      <c r="AK59" s="12">
        <f t="shared" si="5"/>
        <v>6</v>
      </c>
      <c r="AL59" s="14">
        <f t="shared" si="9"/>
        <v>32</v>
      </c>
      <c r="AM59" s="16" t="str">
        <f t="shared" si="7"/>
        <v>Barrier</v>
      </c>
      <c r="AN59" s="116" t="s">
        <v>229</v>
      </c>
      <c r="AO59" s="114">
        <v>2</v>
      </c>
      <c r="AP59" s="25" t="s">
        <v>194</v>
      </c>
    </row>
    <row r="60" spans="1:42" ht="30" x14ac:dyDescent="0.25">
      <c r="A60" s="117">
        <v>44098</v>
      </c>
      <c r="B60" s="76"/>
      <c r="C60" s="25">
        <v>4604455</v>
      </c>
      <c r="D60" s="25" t="s">
        <v>127</v>
      </c>
      <c r="E60" s="77">
        <v>11</v>
      </c>
      <c r="F60" s="78">
        <v>638669</v>
      </c>
      <c r="G60" s="79">
        <v>5480601</v>
      </c>
      <c r="H60" s="77" t="s">
        <v>103</v>
      </c>
      <c r="I60" s="77" t="s">
        <v>131</v>
      </c>
      <c r="J60" s="80"/>
      <c r="K60" s="77" t="s">
        <v>231</v>
      </c>
      <c r="L60" s="25" t="s">
        <v>95</v>
      </c>
      <c r="M60" s="25" t="s">
        <v>96</v>
      </c>
      <c r="N60" s="114">
        <v>0.9</v>
      </c>
      <c r="O60" s="114">
        <v>16</v>
      </c>
      <c r="P60" s="116" t="s">
        <v>97</v>
      </c>
      <c r="Q60" s="122"/>
      <c r="R60" s="116" t="s">
        <v>97</v>
      </c>
      <c r="S60" s="116" t="s">
        <v>97</v>
      </c>
      <c r="T60" s="122"/>
      <c r="U60" s="114">
        <v>2</v>
      </c>
      <c r="V60" s="116">
        <v>0.15</v>
      </c>
      <c r="W60" s="114">
        <v>0.2</v>
      </c>
      <c r="X60" s="116" t="s">
        <v>98</v>
      </c>
      <c r="Y60" s="114">
        <v>7</v>
      </c>
      <c r="Z60" s="114">
        <v>1.5</v>
      </c>
      <c r="AA60" s="116">
        <v>9</v>
      </c>
      <c r="AB60" s="25" t="s">
        <v>97</v>
      </c>
      <c r="AC60" s="25" t="s">
        <v>97</v>
      </c>
      <c r="AD60" s="116" t="s">
        <v>99</v>
      </c>
      <c r="AE60" s="116" t="s">
        <v>101</v>
      </c>
      <c r="AF60" s="22">
        <f t="shared" si="8"/>
        <v>1.6666666666666665</v>
      </c>
      <c r="AG60" s="15">
        <f t="shared" si="1"/>
        <v>3</v>
      </c>
      <c r="AH60" s="7">
        <f t="shared" si="2"/>
        <v>10</v>
      </c>
      <c r="AI60" s="7">
        <f t="shared" si="3"/>
        <v>5</v>
      </c>
      <c r="AJ60" s="7">
        <f t="shared" si="4"/>
        <v>10</v>
      </c>
      <c r="AK60" s="12">
        <f t="shared" si="5"/>
        <v>6</v>
      </c>
      <c r="AL60" s="14">
        <f t="shared" si="9"/>
        <v>34</v>
      </c>
      <c r="AM60" s="16" t="str">
        <f t="shared" si="7"/>
        <v>Barrier</v>
      </c>
      <c r="AN60" s="116" t="s">
        <v>229</v>
      </c>
      <c r="AO60" s="114">
        <v>2</v>
      </c>
      <c r="AP60" s="25" t="s">
        <v>195</v>
      </c>
    </row>
    <row r="61" spans="1:42" ht="30" x14ac:dyDescent="0.25">
      <c r="A61" s="117">
        <v>44098</v>
      </c>
      <c r="B61" s="76"/>
      <c r="C61" s="25">
        <v>4601639</v>
      </c>
      <c r="D61" s="25" t="s">
        <v>127</v>
      </c>
      <c r="E61" s="77">
        <v>11</v>
      </c>
      <c r="F61" s="78">
        <v>638630</v>
      </c>
      <c r="G61" s="79">
        <v>5480655</v>
      </c>
      <c r="H61" s="77" t="s">
        <v>103</v>
      </c>
      <c r="I61" s="77" t="s">
        <v>131</v>
      </c>
      <c r="J61" s="80"/>
      <c r="K61" s="77" t="s">
        <v>231</v>
      </c>
      <c r="L61" s="25" t="s">
        <v>95</v>
      </c>
      <c r="M61" s="25" t="s">
        <v>96</v>
      </c>
      <c r="N61" s="114">
        <v>1.2</v>
      </c>
      <c r="O61" s="114">
        <v>99</v>
      </c>
      <c r="P61" s="116" t="s">
        <v>97</v>
      </c>
      <c r="Q61" s="122"/>
      <c r="R61" s="116" t="s">
        <v>97</v>
      </c>
      <c r="S61" s="116" t="s">
        <v>97</v>
      </c>
      <c r="T61" s="122"/>
      <c r="U61" s="114">
        <v>2.5</v>
      </c>
      <c r="V61" s="116">
        <v>0.73</v>
      </c>
      <c r="W61" s="114">
        <v>0.65</v>
      </c>
      <c r="X61" s="116" t="s">
        <v>98</v>
      </c>
      <c r="Y61" s="114">
        <v>11</v>
      </c>
      <c r="Z61" s="114">
        <v>1.5</v>
      </c>
      <c r="AA61" s="116">
        <v>6</v>
      </c>
      <c r="AB61" s="25" t="s">
        <v>97</v>
      </c>
      <c r="AC61" s="25" t="s">
        <v>97</v>
      </c>
      <c r="AD61" s="116" t="s">
        <v>99</v>
      </c>
      <c r="AE61" s="116" t="s">
        <v>101</v>
      </c>
      <c r="AF61" s="22">
        <f t="shared" si="8"/>
        <v>1.25</v>
      </c>
      <c r="AG61" s="15">
        <f t="shared" si="1"/>
        <v>6</v>
      </c>
      <c r="AH61" s="7">
        <f t="shared" si="2"/>
        <v>10</v>
      </c>
      <c r="AI61" s="7">
        <f t="shared" si="3"/>
        <v>10</v>
      </c>
      <c r="AJ61" s="7">
        <f t="shared" si="4"/>
        <v>10</v>
      </c>
      <c r="AK61" s="12">
        <f t="shared" si="5"/>
        <v>3</v>
      </c>
      <c r="AL61" s="14">
        <f t="shared" si="9"/>
        <v>39</v>
      </c>
      <c r="AM61" s="16" t="str">
        <f t="shared" si="7"/>
        <v>Barrier</v>
      </c>
      <c r="AN61" s="116" t="s">
        <v>229</v>
      </c>
      <c r="AO61" s="114">
        <v>2</v>
      </c>
      <c r="AP61" s="25" t="s">
        <v>196</v>
      </c>
    </row>
    <row r="62" spans="1:42" ht="30" x14ac:dyDescent="0.25">
      <c r="A62" s="117">
        <v>44098</v>
      </c>
      <c r="B62" s="76"/>
      <c r="C62" s="25">
        <v>4601556</v>
      </c>
      <c r="D62" s="25" t="s">
        <v>127</v>
      </c>
      <c r="E62" s="77">
        <v>11</v>
      </c>
      <c r="F62" s="78">
        <v>638522</v>
      </c>
      <c r="G62" s="79">
        <v>5480616</v>
      </c>
      <c r="H62" s="77" t="s">
        <v>103</v>
      </c>
      <c r="I62" s="77" t="s">
        <v>131</v>
      </c>
      <c r="J62" s="80"/>
      <c r="K62" s="77" t="s">
        <v>231</v>
      </c>
      <c r="L62" s="25" t="s">
        <v>95</v>
      </c>
      <c r="M62" s="25" t="s">
        <v>96</v>
      </c>
      <c r="N62" s="114">
        <v>0.9</v>
      </c>
      <c r="O62" s="114">
        <v>14.5</v>
      </c>
      <c r="P62" s="116" t="s">
        <v>97</v>
      </c>
      <c r="Q62" s="122"/>
      <c r="R62" s="116" t="s">
        <v>97</v>
      </c>
      <c r="S62" s="116" t="s">
        <v>97</v>
      </c>
      <c r="T62" s="122"/>
      <c r="U62" s="114">
        <v>1.2</v>
      </c>
      <c r="V62" s="116">
        <v>0</v>
      </c>
      <c r="W62" s="114">
        <v>0.2</v>
      </c>
      <c r="X62" s="116" t="s">
        <v>98</v>
      </c>
      <c r="Y62" s="114">
        <v>9</v>
      </c>
      <c r="Z62" s="114">
        <v>1.3</v>
      </c>
      <c r="AA62" s="116">
        <v>8</v>
      </c>
      <c r="AB62" s="25" t="s">
        <v>97</v>
      </c>
      <c r="AC62" s="25" t="s">
        <v>97</v>
      </c>
      <c r="AD62" s="116" t="s">
        <v>99</v>
      </c>
      <c r="AE62" s="116" t="s">
        <v>101</v>
      </c>
      <c r="AF62" s="22">
        <f t="shared" si="8"/>
        <v>1.4444444444444444</v>
      </c>
      <c r="AG62" s="15">
        <f t="shared" si="1"/>
        <v>0</v>
      </c>
      <c r="AH62" s="7">
        <f t="shared" si="2"/>
        <v>10</v>
      </c>
      <c r="AI62" s="7">
        <f t="shared" si="3"/>
        <v>0</v>
      </c>
      <c r="AJ62" s="7">
        <f t="shared" si="4"/>
        <v>10</v>
      </c>
      <c r="AK62" s="12">
        <f t="shared" si="5"/>
        <v>6</v>
      </c>
      <c r="AL62" s="14">
        <f t="shared" si="9"/>
        <v>26</v>
      </c>
      <c r="AM62" s="16" t="str">
        <f t="shared" si="7"/>
        <v>Barrier</v>
      </c>
      <c r="AN62" s="116" t="s">
        <v>229</v>
      </c>
      <c r="AO62" s="114">
        <v>2</v>
      </c>
      <c r="AP62" s="25" t="s">
        <v>197</v>
      </c>
    </row>
    <row r="63" spans="1:42" ht="30" x14ac:dyDescent="0.25">
      <c r="A63" s="117">
        <v>44098</v>
      </c>
      <c r="B63" s="76"/>
      <c r="C63" s="25">
        <v>4602349</v>
      </c>
      <c r="D63" s="25" t="s">
        <v>127</v>
      </c>
      <c r="E63" s="77">
        <v>11</v>
      </c>
      <c r="F63" s="78">
        <v>638525</v>
      </c>
      <c r="G63" s="79">
        <v>5481496</v>
      </c>
      <c r="H63" s="77" t="s">
        <v>103</v>
      </c>
      <c r="I63" s="77" t="s">
        <v>132</v>
      </c>
      <c r="J63" s="80"/>
      <c r="K63" s="77" t="s">
        <v>231</v>
      </c>
      <c r="L63" s="25" t="s">
        <v>95</v>
      </c>
      <c r="M63" s="25" t="s">
        <v>96</v>
      </c>
      <c r="N63" s="114">
        <v>1.2</v>
      </c>
      <c r="O63" s="114">
        <v>10.5</v>
      </c>
      <c r="P63" s="116" t="s">
        <v>97</v>
      </c>
      <c r="Q63" s="122"/>
      <c r="R63" s="116" t="s">
        <v>97</v>
      </c>
      <c r="S63" s="116" t="s">
        <v>98</v>
      </c>
      <c r="T63" s="114">
        <v>20</v>
      </c>
      <c r="U63" s="114">
        <v>1.5</v>
      </c>
      <c r="V63" s="116">
        <v>0</v>
      </c>
      <c r="W63" s="114">
        <v>2</v>
      </c>
      <c r="X63" s="116" t="s">
        <v>97</v>
      </c>
      <c r="Y63" s="114">
        <v>3.5</v>
      </c>
      <c r="Z63" s="114">
        <v>2</v>
      </c>
      <c r="AA63" s="116">
        <v>7</v>
      </c>
      <c r="AB63" s="25" t="s">
        <v>97</v>
      </c>
      <c r="AC63" s="25" t="s">
        <v>97</v>
      </c>
      <c r="AD63" s="116" t="s">
        <v>99</v>
      </c>
      <c r="AE63" s="116" t="s">
        <v>100</v>
      </c>
      <c r="AF63" s="22">
        <f t="shared" si="8"/>
        <v>1.6666666666666667</v>
      </c>
      <c r="AG63" s="15">
        <f t="shared" si="1"/>
        <v>0</v>
      </c>
      <c r="AH63" s="7">
        <f t="shared" si="2"/>
        <v>10</v>
      </c>
      <c r="AI63" s="7">
        <f t="shared" si="3"/>
        <v>0</v>
      </c>
      <c r="AJ63" s="7">
        <f t="shared" si="4"/>
        <v>10</v>
      </c>
      <c r="AK63" s="12">
        <f t="shared" si="5"/>
        <v>6</v>
      </c>
      <c r="AL63" s="14">
        <f t="shared" si="9"/>
        <v>26</v>
      </c>
      <c r="AM63" s="16" t="str">
        <f t="shared" si="7"/>
        <v>Barrier</v>
      </c>
      <c r="AN63" s="116" t="s">
        <v>141</v>
      </c>
      <c r="AO63" s="114">
        <v>10</v>
      </c>
      <c r="AP63" s="25" t="s">
        <v>133</v>
      </c>
    </row>
    <row r="64" spans="1:42" ht="30" x14ac:dyDescent="0.25">
      <c r="A64" s="117">
        <v>44098</v>
      </c>
      <c r="B64" s="76"/>
      <c r="C64" s="25">
        <v>4600332</v>
      </c>
      <c r="D64" s="25" t="s">
        <v>92</v>
      </c>
      <c r="E64" s="77">
        <v>11</v>
      </c>
      <c r="F64" s="78">
        <v>639511</v>
      </c>
      <c r="G64" s="79">
        <v>5481114</v>
      </c>
      <c r="H64" s="77" t="s">
        <v>103</v>
      </c>
      <c r="I64" s="77" t="s">
        <v>134</v>
      </c>
      <c r="J64" s="80"/>
      <c r="K64" s="77" t="s">
        <v>219</v>
      </c>
      <c r="L64" s="25" t="s">
        <v>95</v>
      </c>
      <c r="M64" s="25" t="s">
        <v>96</v>
      </c>
      <c r="N64" s="114">
        <v>1.2</v>
      </c>
      <c r="O64" s="114">
        <v>25</v>
      </c>
      <c r="P64" s="116" t="s">
        <v>97</v>
      </c>
      <c r="Q64" s="122"/>
      <c r="R64" s="116" t="s">
        <v>97</v>
      </c>
      <c r="S64" s="116" t="s">
        <v>97</v>
      </c>
      <c r="T64" s="122"/>
      <c r="U64" s="114">
        <v>2.2999999999999998</v>
      </c>
      <c r="V64" s="116">
        <v>0</v>
      </c>
      <c r="W64" s="114">
        <v>0.5</v>
      </c>
      <c r="X64" s="116" t="s">
        <v>98</v>
      </c>
      <c r="Y64" s="114">
        <v>1.5</v>
      </c>
      <c r="Z64" s="114">
        <v>3.3</v>
      </c>
      <c r="AA64" s="116">
        <v>4</v>
      </c>
      <c r="AB64" s="25" t="s">
        <v>97</v>
      </c>
      <c r="AC64" s="25" t="s">
        <v>98</v>
      </c>
      <c r="AD64" s="116" t="s">
        <v>99</v>
      </c>
      <c r="AE64" s="116" t="s">
        <v>100</v>
      </c>
      <c r="AF64" s="22">
        <f t="shared" si="8"/>
        <v>2.75</v>
      </c>
      <c r="AG64" s="15">
        <f t="shared" si="1"/>
        <v>3</v>
      </c>
      <c r="AH64" s="7">
        <f t="shared" si="2"/>
        <v>10</v>
      </c>
      <c r="AI64" s="7">
        <f t="shared" si="3"/>
        <v>0</v>
      </c>
      <c r="AJ64" s="7">
        <f t="shared" si="4"/>
        <v>5</v>
      </c>
      <c r="AK64" s="12">
        <f t="shared" si="5"/>
        <v>6</v>
      </c>
      <c r="AL64" s="14">
        <f t="shared" si="9"/>
        <v>24</v>
      </c>
      <c r="AM64" s="16" t="str">
        <f t="shared" si="7"/>
        <v>Barrier</v>
      </c>
      <c r="AN64" s="116" t="s">
        <v>141</v>
      </c>
      <c r="AO64" s="114">
        <v>10</v>
      </c>
      <c r="AP64" s="25" t="s">
        <v>198</v>
      </c>
    </row>
    <row r="65" spans="1:42" ht="30" x14ac:dyDescent="0.25">
      <c r="A65" s="117">
        <v>44098</v>
      </c>
      <c r="B65" s="76"/>
      <c r="C65" s="25">
        <v>4600026</v>
      </c>
      <c r="D65" s="25" t="s">
        <v>135</v>
      </c>
      <c r="E65" s="77">
        <v>11</v>
      </c>
      <c r="F65" s="78">
        <v>642911</v>
      </c>
      <c r="G65" s="79">
        <v>5490630</v>
      </c>
      <c r="H65" s="77" t="s">
        <v>103</v>
      </c>
      <c r="I65" s="77" t="s">
        <v>136</v>
      </c>
      <c r="J65" s="80"/>
      <c r="K65" s="77" t="s">
        <v>220</v>
      </c>
      <c r="L65" s="25" t="s">
        <v>95</v>
      </c>
      <c r="M65" s="25" t="s">
        <v>96</v>
      </c>
      <c r="N65" s="114">
        <v>0.6</v>
      </c>
      <c r="O65" s="114">
        <v>22</v>
      </c>
      <c r="P65" s="116" t="s">
        <v>97</v>
      </c>
      <c r="Q65" s="122"/>
      <c r="R65" s="116" t="s">
        <v>97</v>
      </c>
      <c r="S65" s="116" t="s">
        <v>97</v>
      </c>
      <c r="T65" s="122"/>
      <c r="U65" s="114">
        <v>2</v>
      </c>
      <c r="V65" s="116">
        <v>1.3</v>
      </c>
      <c r="W65" s="114">
        <v>0.3</v>
      </c>
      <c r="X65" s="116" t="s">
        <v>97</v>
      </c>
      <c r="Y65" s="114">
        <v>1.5</v>
      </c>
      <c r="Z65" s="114">
        <v>2.2000000000000002</v>
      </c>
      <c r="AA65" s="116">
        <v>3</v>
      </c>
      <c r="AB65" s="25" t="s">
        <v>97</v>
      </c>
      <c r="AC65" s="25" t="s">
        <v>97</v>
      </c>
      <c r="AD65" s="116" t="s">
        <v>99</v>
      </c>
      <c r="AE65" s="116" t="s">
        <v>101</v>
      </c>
      <c r="AF65" s="22">
        <f t="shared" si="8"/>
        <v>3.666666666666667</v>
      </c>
      <c r="AG65" s="15">
        <f t="shared" si="1"/>
        <v>3</v>
      </c>
      <c r="AH65" s="7">
        <f t="shared" si="2"/>
        <v>10</v>
      </c>
      <c r="AI65" s="7">
        <f t="shared" si="3"/>
        <v>10</v>
      </c>
      <c r="AJ65" s="7">
        <f t="shared" si="4"/>
        <v>5</v>
      </c>
      <c r="AK65" s="12">
        <f t="shared" si="5"/>
        <v>6</v>
      </c>
      <c r="AL65" s="14">
        <f t="shared" si="9"/>
        <v>34</v>
      </c>
      <c r="AM65" s="16" t="str">
        <f t="shared" si="7"/>
        <v>Barrier</v>
      </c>
      <c r="AN65" s="116" t="s">
        <v>141</v>
      </c>
      <c r="AO65" s="114">
        <v>10</v>
      </c>
      <c r="AP65" s="25" t="s">
        <v>199</v>
      </c>
    </row>
    <row r="66" spans="1:42" ht="30" x14ac:dyDescent="0.25">
      <c r="A66" s="117">
        <v>44098</v>
      </c>
      <c r="B66" s="76"/>
      <c r="C66" s="25">
        <v>4600028</v>
      </c>
      <c r="D66" s="25" t="s">
        <v>135</v>
      </c>
      <c r="E66" s="77">
        <v>11</v>
      </c>
      <c r="F66" s="78">
        <v>642559</v>
      </c>
      <c r="G66" s="79">
        <v>5490377</v>
      </c>
      <c r="H66" s="77" t="s">
        <v>137</v>
      </c>
      <c r="I66" s="77" t="s">
        <v>136</v>
      </c>
      <c r="J66" s="80"/>
      <c r="K66" s="77" t="s">
        <v>220</v>
      </c>
      <c r="L66" s="25" t="s">
        <v>95</v>
      </c>
      <c r="M66" s="25" t="s">
        <v>96</v>
      </c>
      <c r="N66" s="114">
        <v>0.95</v>
      </c>
      <c r="O66" s="114">
        <v>14.5</v>
      </c>
      <c r="P66" s="116" t="s">
        <v>97</v>
      </c>
      <c r="Q66" s="122"/>
      <c r="R66" s="116" t="s">
        <v>97</v>
      </c>
      <c r="S66" s="116" t="s">
        <v>97</v>
      </c>
      <c r="T66" s="122"/>
      <c r="U66" s="114">
        <v>1.2</v>
      </c>
      <c r="V66" s="116">
        <v>0.56999999999999995</v>
      </c>
      <c r="W66" s="114">
        <v>0.22</v>
      </c>
      <c r="X66" s="116" t="s">
        <v>97</v>
      </c>
      <c r="Y66" s="114">
        <v>5.5</v>
      </c>
      <c r="Z66" s="114">
        <v>2</v>
      </c>
      <c r="AA66" s="116">
        <v>5</v>
      </c>
      <c r="AB66" s="25" t="s">
        <v>97</v>
      </c>
      <c r="AC66" s="25" t="s">
        <v>98</v>
      </c>
      <c r="AD66" s="116" t="s">
        <v>99</v>
      </c>
      <c r="AE66" s="116" t="s">
        <v>109</v>
      </c>
      <c r="AF66" s="22">
        <f t="shared" si="8"/>
        <v>2.1052631578947367</v>
      </c>
      <c r="AG66" s="15">
        <f t="shared" si="1"/>
        <v>0</v>
      </c>
      <c r="AH66" s="7">
        <f t="shared" si="2"/>
        <v>10</v>
      </c>
      <c r="AI66" s="7">
        <f t="shared" si="3"/>
        <v>10</v>
      </c>
      <c r="AJ66" s="7">
        <f t="shared" si="4"/>
        <v>10</v>
      </c>
      <c r="AK66" s="12">
        <f t="shared" si="5"/>
        <v>6</v>
      </c>
      <c r="AL66" s="14">
        <f t="shared" si="9"/>
        <v>36</v>
      </c>
      <c r="AM66" s="16" t="str">
        <f t="shared" si="7"/>
        <v>Barrier</v>
      </c>
      <c r="AN66" s="116" t="s">
        <v>141</v>
      </c>
      <c r="AO66" s="114">
        <v>10</v>
      </c>
      <c r="AP66" s="25" t="s">
        <v>138</v>
      </c>
    </row>
    <row r="67" spans="1:42" ht="30" x14ac:dyDescent="0.25">
      <c r="A67" s="117">
        <v>44098</v>
      </c>
      <c r="B67" s="76"/>
      <c r="C67" s="25">
        <v>4600157</v>
      </c>
      <c r="D67" s="25" t="s">
        <v>135</v>
      </c>
      <c r="E67" s="77">
        <v>11</v>
      </c>
      <c r="F67" s="78">
        <v>643565</v>
      </c>
      <c r="G67" s="79">
        <v>5490325</v>
      </c>
      <c r="H67" s="77" t="s">
        <v>208</v>
      </c>
      <c r="I67" s="77" t="s">
        <v>134</v>
      </c>
      <c r="J67" s="80"/>
      <c r="K67" s="77" t="s">
        <v>219</v>
      </c>
      <c r="L67" s="25" t="s">
        <v>116</v>
      </c>
      <c r="M67" s="25" t="s">
        <v>128</v>
      </c>
      <c r="N67" s="114">
        <v>4</v>
      </c>
      <c r="O67" s="114">
        <v>44</v>
      </c>
      <c r="P67" s="121"/>
      <c r="Q67" s="122"/>
      <c r="R67" s="121"/>
      <c r="S67" s="121"/>
      <c r="T67" s="122"/>
      <c r="U67" s="122"/>
      <c r="V67" s="121"/>
      <c r="W67" s="122"/>
      <c r="X67" s="121"/>
      <c r="Y67" s="122"/>
      <c r="Z67" s="122"/>
      <c r="AA67" s="121"/>
      <c r="AB67" s="25" t="s">
        <v>97</v>
      </c>
      <c r="AC67" s="25" t="s">
        <v>97</v>
      </c>
      <c r="AD67" s="121"/>
      <c r="AE67" s="121"/>
      <c r="AF67" s="22">
        <f t="shared" si="8"/>
        <v>0</v>
      </c>
      <c r="AG67" s="15">
        <f t="shared" si="1"/>
        <v>6</v>
      </c>
      <c r="AH67" s="7">
        <f t="shared" si="2"/>
        <v>0</v>
      </c>
      <c r="AI67" s="7">
        <f t="shared" si="3"/>
        <v>0</v>
      </c>
      <c r="AJ67" s="7">
        <f t="shared" si="4"/>
        <v>0</v>
      </c>
      <c r="AK67" s="12">
        <f t="shared" si="5"/>
        <v>0</v>
      </c>
      <c r="AL67" s="14">
        <f t="shared" si="9"/>
        <v>6</v>
      </c>
      <c r="AM67" s="16" t="str">
        <f t="shared" si="7"/>
        <v>Passable</v>
      </c>
      <c r="AN67" s="121"/>
      <c r="AO67" s="122"/>
      <c r="AP67" s="25" t="s">
        <v>139</v>
      </c>
    </row>
    <row r="68" spans="1:42" ht="30" x14ac:dyDescent="0.25">
      <c r="A68" s="117">
        <v>44098</v>
      </c>
      <c r="B68" s="76"/>
      <c r="C68" s="25">
        <v>4600158</v>
      </c>
      <c r="D68" s="25" t="s">
        <v>135</v>
      </c>
      <c r="E68" s="77">
        <v>11</v>
      </c>
      <c r="F68" s="78">
        <v>642739</v>
      </c>
      <c r="G68" s="79">
        <v>5489444</v>
      </c>
      <c r="H68" s="77" t="s">
        <v>137</v>
      </c>
      <c r="I68" s="77" t="s">
        <v>134</v>
      </c>
      <c r="J68" s="80"/>
      <c r="K68" s="77" t="s">
        <v>219</v>
      </c>
      <c r="L68" s="25" t="s">
        <v>95</v>
      </c>
      <c r="M68" s="25" t="s">
        <v>96</v>
      </c>
      <c r="N68" s="114">
        <v>1.8</v>
      </c>
      <c r="O68" s="114">
        <v>29.5</v>
      </c>
      <c r="P68" s="116" t="s">
        <v>97</v>
      </c>
      <c r="Q68" s="122"/>
      <c r="R68" s="116" t="s">
        <v>97</v>
      </c>
      <c r="S68" s="116" t="s">
        <v>97</v>
      </c>
      <c r="T68" s="122"/>
      <c r="U68" s="114">
        <v>1.5</v>
      </c>
      <c r="V68" s="116">
        <v>0.17</v>
      </c>
      <c r="W68" s="114">
        <v>0.24</v>
      </c>
      <c r="X68" s="116" t="s">
        <v>97</v>
      </c>
      <c r="Y68" s="114">
        <v>1</v>
      </c>
      <c r="Z68" s="114">
        <v>3.2</v>
      </c>
      <c r="AA68" s="116">
        <v>0.5</v>
      </c>
      <c r="AB68" s="25" t="s">
        <v>97</v>
      </c>
      <c r="AC68" s="25" t="s">
        <v>97</v>
      </c>
      <c r="AD68" s="116" t="s">
        <v>99</v>
      </c>
      <c r="AE68" s="116" t="s">
        <v>100</v>
      </c>
      <c r="AF68" s="22">
        <f t="shared" si="8"/>
        <v>1.7777777777777779</v>
      </c>
      <c r="AG68" s="15">
        <f t="shared" ref="AG68:AG131" si="10">IF(O68&lt;15,0,IF(AND(O68&gt;=15,O68&lt;30),3,IF(O68&gt;=30,6,0)))</f>
        <v>3</v>
      </c>
      <c r="AH68" s="7">
        <f t="shared" ref="AH68:AH131" si="11">IF(P68 = "No", 10, IF(ISBLANK(N68), 0, IF(ISBLANK(Q68), 0, IF(OR(Q68 / N68 &lt;= 0.2, Q68 &lt; 0.3), 5, IF(OR(Q68 / N68 &gt;= 0.2, Q68 &gt;= 0.3), 0)))))</f>
        <v>10</v>
      </c>
      <c r="AI68" s="7">
        <f t="shared" ref="AI68:AI131" si="12">IF(V68&lt;0.15,0,IF(AND(V68&gt;=0.15,V68&lt;0.3),5,IF(V68&gt;=0.3,10,0)))</f>
        <v>5</v>
      </c>
      <c r="AJ68" s="7">
        <f t="shared" ref="AJ68:AJ131" si="13">IF(Y68&lt;1,0,IF(AND(Y68&gt;=1,Y68&lt;3),5,IF(Y68&gt;=3,10,0)))</f>
        <v>5</v>
      </c>
      <c r="AK68" s="12">
        <f t="shared" ref="AK68:AK131" si="14">IF(AF68&lt;1,0,IF(AND(AF68&gt;=1,AF68&lt;1.3),3,IF(AF68&gt;=1.3,6,0)))</f>
        <v>6</v>
      </c>
      <c r="AL68" s="14">
        <f t="shared" si="9"/>
        <v>29</v>
      </c>
      <c r="AM68" s="16" t="str">
        <f t="shared" ref="AM68:AM131" si="15">IF(ISBLANK(L68), "", IF(L68 = "Open Bottom Structure", "Passable", IF(L68 = "Other", "Unknown", IF(AL68 &lt; 15, "Passable", IF(AND(AL68 &gt;= 15,AL68 &lt;= 19), "Potential", IF(AL68 &gt; 19, "Barrier", ""))))))</f>
        <v>Barrier</v>
      </c>
      <c r="AN68" s="116" t="s">
        <v>141</v>
      </c>
      <c r="AO68" s="114">
        <v>10</v>
      </c>
      <c r="AP68" s="25" t="s">
        <v>140</v>
      </c>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t="s">
        <v>230</v>
      </c>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pb9SCclv4bTcwZY5nTg7+Uop6vgl/+qkPA+rXKYC5rTMh4U/XMPg+MM42QXDTuCrJeBfYL1/K+nrHzjsrLybDA==" saltValue="MobcENpYeIQHbTItsQ08Fw==" spinCount="100000" sheet="1" objects="1" scenarios="1"/>
  <dataConsolidate/>
  <conditionalFormatting sqref="AO12:AO19 AO22:AO65536">
    <cfRule type="cellIs" priority="215" stopIfTrue="1" operator="lessThan">
      <formula>0</formula>
    </cfRule>
  </conditionalFormatting>
  <conditionalFormatting sqref="AF6:AF4998 AF5284:AF65536">
    <cfRule type="cellIs" dxfId="2" priority="203" stopIfTrue="1" operator="greaterThan">
      <formula>9999999999</formula>
    </cfRule>
  </conditionalFormatting>
  <conditionalFormatting sqref="AF4999:AF5283">
    <cfRule type="cellIs" dxfId="1" priority="17" stopIfTrue="1" operator="greaterThan">
      <formula>9999999999</formula>
    </cfRule>
  </conditionalFormatting>
  <conditionalFormatting sqref="AO6:AO11">
    <cfRule type="cellIs" priority="5" stopIfTrue="1" operator="lessThan">
      <formula>0</formula>
    </cfRule>
  </conditionalFormatting>
  <conditionalFormatting sqref="AO5">
    <cfRule type="cellIs" priority="4" stopIfTrue="1" operator="lessThan">
      <formula>0</formula>
    </cfRule>
  </conditionalFormatting>
  <conditionalFormatting sqref="AF5">
    <cfRule type="cellIs" dxfId="0" priority="3" stopIfTrue="1" operator="greaterThan">
      <formula>9999999999</formula>
    </cfRule>
  </conditionalFormatting>
  <conditionalFormatting sqref="AO20">
    <cfRule type="cellIs" priority="2" stopIfTrue="1" operator="lessThan">
      <formula>0</formula>
    </cfRule>
  </conditionalFormatting>
  <conditionalFormatting sqref="AO21">
    <cfRule type="cellIs" priority="1" stopIfTrue="1" operator="lessThan">
      <formula>0</formula>
    </cfRule>
  </conditionalFormatting>
  <dataValidations count="56">
    <dataValidation type="list" allowBlank="1" showInputMessage="1" showErrorMessage="1" sqref="AM5284:AM65536" xr:uid="{00000000-0002-0000-0200-000000000000}">
      <formula1>"Passable, Potential, Barrier, Unkown"</formula1>
    </dataValidation>
    <dataValidation type="list" allowBlank="1" showInputMessage="1" showErrorMessage="1" sqref="M69: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 Q48 Q69: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0:N21 N48 N69: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49:M50 M37:M47 M30:M35 M26:M27 M22:M23 M5:M19 M68 M52:M66" xr:uid="{87B1101C-48B7-8945-8F6B-BCFE5FD89E9B}">
      <formula1>"Round Culvert,Oval Culvert,Concrete Box"</formula1>
    </dataValidation>
    <dataValidation type="decimal" allowBlank="1" showInputMessage="1" showErrorMessage="1" errorTitle="Invalid Diamter or Span" error="The Diameter or Span entered is invalid. Diameter or Span must be &gt; 0 and &lt; 300" sqref="N49:N50 N37:N47 N30:N35 N26:N27 N22:N23 N5:N19 N68 N52:N66" xr:uid="{62D40BDC-9507-4F44-9A54-5CDE455EADBD}">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 Q62 Q59:Q60 Q50 Q47 Q39 Q23 Q15" xr:uid="{2243BF22-1912-DA48-9A59-1FC866E97C82}">
      <formula1>0.01</formula1>
      <formula2>0.89</formula2>
    </dataValidation>
    <dataValidation type="decimal" allowBlank="1" showInputMessage="1" showErrorMessage="1" errorTitle="Invalid value entered" error="The Average Depth Embededdment you entered is invalid. The Average Depth Embededdment must be &lt;= 0.59 and &gt;= 0.01" sqref="Q6 Q49 Q45 Q37 Q34:Q35 Q32 Q22 Q13:Q14 Q8 Q65" xr:uid="{A0CB3F0D-75EA-E945-8AA8-F7484C1B1312}">
      <formula1>0.01</formula1>
      <formula2>0.59</formula2>
    </dataValidation>
    <dataValidation type="decimal" allowBlank="1" showInputMessage="1" showErrorMessage="1" errorTitle="Invalid value entered" error="The Average Depth Embededdment you entered is invalid. The Average Depth Embededdment must be &lt;= 0.34 and &gt;= 0.01" sqref="Q7" xr:uid="{B76A2953-74E1-7149-BF9F-2A54D90C8077}">
      <formula1>0.01</formula1>
      <formula2>0.34</formula2>
    </dataValidation>
    <dataValidation type="decimal" allowBlank="1" showInputMessage="1" showErrorMessage="1" errorTitle="Invalid value entered" error="The Average Depth Embededdment you entered is invalid. The Average Depth Embededdment must be &lt;= 0.39 and &gt;= 0.01" sqref="Q9:Q10" xr:uid="{56E3F55A-6A3B-6246-8AF0-5ECF18E1C62A}">
      <formula1>0.01</formula1>
      <formula2>0.39</formula2>
    </dataValidation>
    <dataValidation type="decimal" allowBlank="1" showInputMessage="1" showErrorMessage="1" errorTitle="Invalid value entered" error="The Average Depth Embededdment you entered is invalid. The Average Depth Embededdment must be &lt;= 1.19 and &gt;= 0.01" sqref="Q11 Q61 Q55:Q56 Q63:Q64 Q28:Q29 Q51:Q53" xr:uid="{5D6BE724-21F0-B64A-8FB9-A331E0A97E2C}">
      <formula1>0.01</formula1>
      <formula2>1.19</formula2>
    </dataValidation>
    <dataValidation type="decimal" allowBlank="1" showInputMessage="1" showErrorMessage="1" errorTitle="Invalid value entered" error="The Average Depth Embededdment you entered is invalid. The Average Depth Embededdment must be &lt;= 1.49 and &gt;= 0.01" sqref="Q12 Q57 Q40 Q38" xr:uid="{E57BAF6F-62E4-0A4B-8E91-01C03D8C83EF}">
      <formula1>0.01</formula1>
      <formula2>1.49</formula2>
    </dataValidation>
    <dataValidation type="decimal" allowBlank="1" showInputMessage="1" showErrorMessage="1" errorTitle="Invalid value entered" error="The Average Depth Embededdment you entered is invalid. The Average Depth Embededdment must be &lt;= 0.74 and &gt;= 0.01" sqref="Q30 Q16:Q17" xr:uid="{15CFC4DB-92D2-4F4D-B268-0279BE741A4F}">
      <formula1>0.01</formula1>
      <formula2>0.74</formula2>
    </dataValidation>
    <dataValidation type="decimal" allowBlank="1" showInputMessage="1" showErrorMessage="1" errorTitle="Invalid value entered" error="The Average Depth Embededdment you entered is invalid. The Average Depth Embededdment must be &lt;= 3.29 and &gt;= 0.01" sqref="Q18" xr:uid="{10EE55D3-9652-DD49-AB63-94CA44AEC9BC}">
      <formula1>0.01</formula1>
      <formula2>3.29</formula2>
    </dataValidation>
    <dataValidation type="decimal" allowBlank="1" showInputMessage="1" showErrorMessage="1" errorTitle="Invalid value entered" error="The Average Depth Embededdment you entered is invalid. The Average Depth Embededdment must be &lt;= 1.59 and &gt;= 0.01" sqref="Q19" xr:uid="{09F735E3-B426-CF40-9131-8310A51A00C3}">
      <formula1>0.01</formula1>
      <formula2>1.59</formula2>
    </dataValidation>
    <dataValidation type="list" allowBlank="1" showInputMessage="1" showErrorMessage="1" errorTitle="Invalid value entered" error="The crossing subtype is not compatible with a crossing type of Other" sqref="M48 M20:M21" xr:uid="{E0A10C0E-5B01-634D-97EB-1866DB1C08CC}">
      <formula1>"Ford"</formula1>
    </dataValidation>
    <dataValidation type="list" allowBlank="1" showInputMessage="1" showErrorMessage="1" errorTitle="Invalid value entered" error="The crossing subtype is not compatible with a crossing type of Open Bottom Structure" sqref="M51 M36 M28:M29 M24:M25 M67" xr:uid="{DF0DABA2-F7C3-6445-8CDD-3416A2BD334E}">
      <formula1>"Bridge, Pipe Arch, Wood Box Culvert"</formula1>
    </dataValidation>
    <dataValidation type="decimal" allowBlank="1" showInputMessage="1" showErrorMessage="1" errorTitle="Invalid Diamter or Span" error="The Diameter or Span entered is invalid. Diameter or Span must be &gt; 0 and &lt; 100" sqref="N51 N36 N28:N29 N24:N25 N67" xr:uid="{A37B75CE-E810-264A-934A-F95E52519667}">
      <formula1>0.01</formula1>
      <formula2>100</formula2>
    </dataValidation>
    <dataValidation type="decimal" allowBlank="1" showInputMessage="1" showErrorMessage="1" errorTitle="Invalid value entered" error="The Average Depth Embededdment you entered is invalid. The Average Depth Embededdment must be &lt;= 0.79 and &gt;= 0.01" sqref="Q26 Q46 Q42" xr:uid="{81576A2D-645F-C14F-90DB-CAD1D074D0D5}">
      <formula1>0.01</formula1>
      <formula2>0.79</formula2>
    </dataValidation>
    <dataValidation type="decimal" allowBlank="1" showInputMessage="1" showErrorMessage="1" errorTitle="Invalid value entered" error="The Average Depth Embededdment you entered is invalid. The Average Depth Embededdment must be &lt;= 2.59 and &gt;= 0.01" sqref="Q27" xr:uid="{8A282EFB-627D-FD41-B406-A770A8313F56}">
      <formula1>0.01</formula1>
      <formula2>2.59</formula2>
    </dataValidation>
    <dataValidation type="decimal" allowBlank="1" showInputMessage="1" showErrorMessage="1" errorTitle="Invalid value entered" error="The Average Depth Embededdment you entered is invalid. The Average Depth Embededdment must be &lt;= 0.49 and &gt;= 0.01" sqref="Q31" xr:uid="{F306DFBA-65A1-D94A-AA1F-F83B762688F7}">
      <formula1>0.01</formula1>
      <formula2>0.49</formula2>
    </dataValidation>
    <dataValidation type="decimal" allowBlank="1" showInputMessage="1" showErrorMessage="1" errorTitle="Invalid value entered" error="The Average Depth Embededdment you entered is invalid. The Average Depth Embededdment must be &lt;= 0.64 and &gt;= 0.01" sqref="Q33" xr:uid="{B5E56A77-A1D1-3942-86E9-CD41F819ACC2}">
      <formula1>0.01</formula1>
      <formula2>0.64</formula2>
    </dataValidation>
    <dataValidation type="decimal" allowBlank="1" showInputMessage="1" showErrorMessage="1" errorTitle="Invalid value entered" error="The Average Depth Embededdment you entered is invalid. The Average Depth Embededdment must be &lt;= 2.49 and &gt;= 0.01" sqref="Q44 Q36" xr:uid="{09B2851F-20CB-0740-AEF3-A2080252E4C0}">
      <formula1>0.01</formula1>
      <formula2>2.49</formula2>
    </dataValidation>
    <dataValidation type="decimal" allowBlank="1" showInputMessage="1" showErrorMessage="1" errorTitle="Invalid value entered" error="The Average Depth Embededdment you entered is invalid. The Average Depth Embededdment must be &lt;= 0.44 and &gt;= 0.01" sqref="Q41 Q43" xr:uid="{96C40464-8547-264A-9D2F-7A46D19FFB8D}">
      <formula1>0.01</formula1>
      <formula2>0.44</formula2>
    </dataValidation>
    <dataValidation type="decimal" allowBlank="1" showInputMessage="1" showErrorMessage="1" errorTitle="Invalid value entered" error="The Average Depth Embededdment you entered is invalid. The Average Depth Embededdment must be &lt;= 1.09 and &gt;= 0.01" sqref="Q54" xr:uid="{E33A7E31-5F94-9945-B41F-6C3E21AF4773}">
      <formula1>0.01</formula1>
      <formula2>1.09</formula2>
    </dataValidation>
    <dataValidation type="decimal" allowBlank="1" showInputMessage="1" showErrorMessage="1" errorTitle="Invalid value entered" error="The Average Depth Embededdment you entered is invalid. The Average Depth Embededdment must be &lt;= 0.99 and &gt;= 0.01" sqref="Q58" xr:uid="{4DBF98CE-5A9A-5F4A-9C40-00626679B093}">
      <formula1>0.01</formula1>
      <formula2>0.99</formula2>
    </dataValidation>
    <dataValidation type="decimal" allowBlank="1" showInputMessage="1" showErrorMessage="1" errorTitle="Invalid value entered" error="The Average Depth Embededdment you entered is invalid. The Average Depth Embededdment must be &lt;= 0.94 and &gt;= 0.01" sqref="Q66" xr:uid="{AECE242C-E8D4-479E-8685-B5417C80AD3E}">
      <formula1>0.01</formula1>
      <formula2>0.94</formula2>
    </dataValidation>
    <dataValidation type="decimal" allowBlank="1" showInputMessage="1" showErrorMessage="1" errorTitle="Invalid value entered" error="The Average Depth Embededdment you entered is invalid. The Average Depth Embededdment must be &lt;= 1.79 and &gt;= 0.01" sqref="Q68" xr:uid="{E60DFDA0-6197-41DA-B50D-22C96E85C3B1}">
      <formula1>0.01</formula1>
      <formula2>1.79</formula2>
    </dataValidation>
    <dataValidation type="decimal" allowBlank="1" showInputMessage="1" showErrorMessage="1" errorTitle="Invalid value entered" error="The Average Depth Embededdment you entered is invalid. The Average Depth Embededdment must be &lt;= 3.99 and &gt;= 0.01" sqref="Q67 Q24:Q25" xr:uid="{FDCB5FA8-1BA5-4A49-92D0-D5207973B866}">
      <formula1>0.01</formula1>
      <formula2>3.99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65"/>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row r="2" spans="1:3" ht="90" x14ac:dyDescent="0.25">
      <c r="A2" s="18" t="s">
        <v>242</v>
      </c>
      <c r="B2" s="18">
        <v>5</v>
      </c>
      <c r="C2" s="19" t="s">
        <v>244</v>
      </c>
    </row>
    <row r="3" spans="1:3" ht="90" x14ac:dyDescent="0.25">
      <c r="A3" s="18" t="s">
        <v>242</v>
      </c>
      <c r="B3" s="18">
        <v>6</v>
      </c>
      <c r="C3" s="19" t="s">
        <v>245</v>
      </c>
    </row>
    <row r="4" spans="1:3" ht="90" x14ac:dyDescent="0.25">
      <c r="A4" s="18" t="s">
        <v>242</v>
      </c>
      <c r="B4" s="18">
        <v>7</v>
      </c>
      <c r="C4" s="19" t="s">
        <v>246</v>
      </c>
    </row>
    <row r="5" spans="1:3" ht="90" x14ac:dyDescent="0.25">
      <c r="A5" s="18" t="s">
        <v>242</v>
      </c>
      <c r="B5" s="18">
        <v>8</v>
      </c>
      <c r="C5" s="19" t="s">
        <v>247</v>
      </c>
    </row>
    <row r="6" spans="1:3" ht="90" x14ac:dyDescent="0.25">
      <c r="A6" s="18" t="s">
        <v>242</v>
      </c>
      <c r="B6" s="18">
        <v>9</v>
      </c>
      <c r="C6" s="19" t="s">
        <v>248</v>
      </c>
    </row>
    <row r="7" spans="1:3" ht="90" x14ac:dyDescent="0.25">
      <c r="A7" s="18" t="s">
        <v>242</v>
      </c>
      <c r="B7" s="18">
        <v>10</v>
      </c>
      <c r="C7" s="19" t="s">
        <v>249</v>
      </c>
    </row>
    <row r="8" spans="1:3" ht="90" x14ac:dyDescent="0.25">
      <c r="A8" s="18" t="s">
        <v>242</v>
      </c>
      <c r="B8" s="18">
        <v>11</v>
      </c>
      <c r="C8" s="19" t="s">
        <v>250</v>
      </c>
    </row>
    <row r="9" spans="1:3" ht="90" x14ac:dyDescent="0.25">
      <c r="A9" s="18" t="s">
        <v>242</v>
      </c>
      <c r="B9" s="18">
        <v>12</v>
      </c>
      <c r="C9" s="19" t="s">
        <v>251</v>
      </c>
    </row>
    <row r="10" spans="1:3" ht="90" x14ac:dyDescent="0.25">
      <c r="A10" s="18" t="s">
        <v>242</v>
      </c>
      <c r="B10" s="18">
        <v>13</v>
      </c>
      <c r="C10" s="19" t="s">
        <v>252</v>
      </c>
    </row>
    <row r="11" spans="1:3" ht="90" x14ac:dyDescent="0.25">
      <c r="A11" s="18" t="s">
        <v>242</v>
      </c>
      <c r="B11" s="18">
        <v>14</v>
      </c>
      <c r="C11" s="19" t="s">
        <v>253</v>
      </c>
    </row>
    <row r="12" spans="1:3" ht="90" x14ac:dyDescent="0.25">
      <c r="A12" s="18" t="s">
        <v>242</v>
      </c>
      <c r="B12" s="18">
        <v>15</v>
      </c>
      <c r="C12" s="19" t="s">
        <v>254</v>
      </c>
    </row>
    <row r="13" spans="1:3" ht="90" x14ac:dyDescent="0.25">
      <c r="A13" s="18" t="s">
        <v>242</v>
      </c>
      <c r="B13" s="18">
        <v>16</v>
      </c>
      <c r="C13" s="19" t="s">
        <v>255</v>
      </c>
    </row>
    <row r="14" spans="1:3" ht="90" x14ac:dyDescent="0.25">
      <c r="A14" s="18" t="s">
        <v>242</v>
      </c>
      <c r="B14" s="18">
        <v>17</v>
      </c>
      <c r="C14" s="19" t="s">
        <v>256</v>
      </c>
    </row>
    <row r="15" spans="1:3" ht="90" x14ac:dyDescent="0.25">
      <c r="A15" s="18" t="s">
        <v>242</v>
      </c>
      <c r="B15" s="18">
        <v>18</v>
      </c>
      <c r="C15" s="19" t="s">
        <v>257</v>
      </c>
    </row>
    <row r="16" spans="1:3" ht="90" x14ac:dyDescent="0.25">
      <c r="A16" s="18" t="s">
        <v>242</v>
      </c>
      <c r="B16" s="18">
        <v>19</v>
      </c>
      <c r="C16" s="19" t="s">
        <v>258</v>
      </c>
    </row>
    <row r="17" spans="1:3" ht="90" x14ac:dyDescent="0.25">
      <c r="A17" s="18" t="s">
        <v>242</v>
      </c>
      <c r="B17" s="18">
        <v>20</v>
      </c>
      <c r="C17" s="19" t="s">
        <v>259</v>
      </c>
    </row>
    <row r="18" spans="1:3" ht="90" x14ac:dyDescent="0.25">
      <c r="A18" s="18" t="s">
        <v>242</v>
      </c>
      <c r="B18" s="18">
        <v>21</v>
      </c>
      <c r="C18" s="19" t="s">
        <v>260</v>
      </c>
    </row>
    <row r="19" spans="1:3" ht="90" x14ac:dyDescent="0.25">
      <c r="A19" s="18" t="s">
        <v>242</v>
      </c>
      <c r="B19" s="18">
        <v>22</v>
      </c>
      <c r="C19" s="19" t="s">
        <v>261</v>
      </c>
    </row>
    <row r="20" spans="1:3" ht="90" x14ac:dyDescent="0.25">
      <c r="A20" s="18" t="s">
        <v>242</v>
      </c>
      <c r="B20" s="18">
        <v>23</v>
      </c>
      <c r="C20" s="19" t="s">
        <v>262</v>
      </c>
    </row>
    <row r="21" spans="1:3" ht="90" x14ac:dyDescent="0.25">
      <c r="A21" s="18" t="s">
        <v>242</v>
      </c>
      <c r="B21" s="18">
        <v>24</v>
      </c>
      <c r="C21" s="19" t="s">
        <v>263</v>
      </c>
    </row>
    <row r="22" spans="1:3" ht="90" x14ac:dyDescent="0.25">
      <c r="A22" s="18" t="s">
        <v>242</v>
      </c>
      <c r="B22" s="18">
        <v>25</v>
      </c>
      <c r="C22" s="19" t="s">
        <v>264</v>
      </c>
    </row>
    <row r="23" spans="1:3" ht="90" x14ac:dyDescent="0.25">
      <c r="A23" s="18" t="s">
        <v>242</v>
      </c>
      <c r="B23" s="18">
        <v>26</v>
      </c>
      <c r="C23" s="19" t="s">
        <v>265</v>
      </c>
    </row>
    <row r="24" spans="1:3" ht="90" x14ac:dyDescent="0.25">
      <c r="A24" s="18" t="s">
        <v>242</v>
      </c>
      <c r="B24" s="18">
        <v>27</v>
      </c>
      <c r="C24" s="19" t="s">
        <v>266</v>
      </c>
    </row>
    <row r="25" spans="1:3" ht="90" x14ac:dyDescent="0.25">
      <c r="A25" s="18" t="s">
        <v>242</v>
      </c>
      <c r="B25" s="18">
        <v>28</v>
      </c>
      <c r="C25" s="19" t="s">
        <v>267</v>
      </c>
    </row>
    <row r="26" spans="1:3" ht="90" x14ac:dyDescent="0.25">
      <c r="A26" s="18" t="s">
        <v>242</v>
      </c>
      <c r="B26" s="18">
        <v>29</v>
      </c>
      <c r="C26" s="19" t="s">
        <v>268</v>
      </c>
    </row>
    <row r="27" spans="1:3" ht="90" x14ac:dyDescent="0.25">
      <c r="A27" s="18" t="s">
        <v>242</v>
      </c>
      <c r="B27" s="18">
        <v>30</v>
      </c>
      <c r="C27" s="19" t="s">
        <v>269</v>
      </c>
    </row>
    <row r="28" spans="1:3" ht="90" x14ac:dyDescent="0.25">
      <c r="A28" s="18" t="s">
        <v>242</v>
      </c>
      <c r="B28" s="18">
        <v>31</v>
      </c>
      <c r="C28" s="19" t="s">
        <v>270</v>
      </c>
    </row>
    <row r="29" spans="1:3" ht="90" x14ac:dyDescent="0.25">
      <c r="A29" s="18" t="s">
        <v>242</v>
      </c>
      <c r="B29" s="18">
        <v>32</v>
      </c>
      <c r="C29" s="19" t="s">
        <v>271</v>
      </c>
    </row>
    <row r="30" spans="1:3" ht="90" x14ac:dyDescent="0.25">
      <c r="A30" s="18" t="s">
        <v>242</v>
      </c>
      <c r="B30" s="18">
        <v>33</v>
      </c>
      <c r="C30" s="19" t="s">
        <v>272</v>
      </c>
    </row>
    <row r="31" spans="1:3" ht="90" x14ac:dyDescent="0.25">
      <c r="A31" s="18" t="s">
        <v>242</v>
      </c>
      <c r="B31" s="18">
        <v>34</v>
      </c>
      <c r="C31" s="19" t="s">
        <v>273</v>
      </c>
    </row>
    <row r="32" spans="1:3" ht="90" x14ac:dyDescent="0.25">
      <c r="A32" s="18" t="s">
        <v>242</v>
      </c>
      <c r="B32" s="18">
        <v>35</v>
      </c>
      <c r="C32" s="19" t="s">
        <v>274</v>
      </c>
    </row>
    <row r="33" spans="1:3" ht="90" x14ac:dyDescent="0.25">
      <c r="A33" s="18" t="s">
        <v>242</v>
      </c>
      <c r="B33" s="18">
        <v>36</v>
      </c>
      <c r="C33" s="19" t="s">
        <v>275</v>
      </c>
    </row>
    <row r="34" spans="1:3" ht="90" x14ac:dyDescent="0.25">
      <c r="A34" s="18" t="s">
        <v>242</v>
      </c>
      <c r="B34" s="18">
        <v>37</v>
      </c>
      <c r="C34" s="19" t="s">
        <v>276</v>
      </c>
    </row>
    <row r="35" spans="1:3" ht="90" x14ac:dyDescent="0.25">
      <c r="A35" s="18" t="s">
        <v>242</v>
      </c>
      <c r="B35" s="18">
        <v>38</v>
      </c>
      <c r="C35" s="19" t="s">
        <v>277</v>
      </c>
    </row>
    <row r="36" spans="1:3" ht="90" x14ac:dyDescent="0.25">
      <c r="A36" s="18" t="s">
        <v>242</v>
      </c>
      <c r="B36" s="18">
        <v>39</v>
      </c>
      <c r="C36" s="19" t="s">
        <v>278</v>
      </c>
    </row>
    <row r="37" spans="1:3" ht="90" x14ac:dyDescent="0.25">
      <c r="A37" s="18" t="s">
        <v>242</v>
      </c>
      <c r="B37" s="18">
        <v>40</v>
      </c>
      <c r="C37" s="19" t="s">
        <v>279</v>
      </c>
    </row>
    <row r="38" spans="1:3" ht="90" x14ac:dyDescent="0.25">
      <c r="A38" s="18" t="s">
        <v>242</v>
      </c>
      <c r="B38" s="18">
        <v>41</v>
      </c>
      <c r="C38" s="19" t="s">
        <v>280</v>
      </c>
    </row>
    <row r="39" spans="1:3" ht="90" x14ac:dyDescent="0.25">
      <c r="A39" s="18" t="s">
        <v>242</v>
      </c>
      <c r="B39" s="18">
        <v>42</v>
      </c>
      <c r="C39" s="19" t="s">
        <v>281</v>
      </c>
    </row>
    <row r="40" spans="1:3" ht="90" x14ac:dyDescent="0.25">
      <c r="A40" s="18" t="s">
        <v>242</v>
      </c>
      <c r="B40" s="18">
        <v>43</v>
      </c>
      <c r="C40" s="19" t="s">
        <v>282</v>
      </c>
    </row>
    <row r="41" spans="1:3" ht="90" x14ac:dyDescent="0.25">
      <c r="A41" s="18" t="s">
        <v>242</v>
      </c>
      <c r="B41" s="18">
        <v>44</v>
      </c>
      <c r="C41" s="19" t="s">
        <v>283</v>
      </c>
    </row>
    <row r="42" spans="1:3" ht="90" x14ac:dyDescent="0.25">
      <c r="A42" s="18" t="s">
        <v>242</v>
      </c>
      <c r="B42" s="18">
        <v>45</v>
      </c>
      <c r="C42" s="19" t="s">
        <v>284</v>
      </c>
    </row>
    <row r="43" spans="1:3" ht="90" x14ac:dyDescent="0.25">
      <c r="A43" s="18" t="s">
        <v>242</v>
      </c>
      <c r="B43" s="18">
        <v>46</v>
      </c>
      <c r="C43" s="19" t="s">
        <v>285</v>
      </c>
    </row>
    <row r="44" spans="1:3" ht="90" x14ac:dyDescent="0.25">
      <c r="A44" s="18" t="s">
        <v>242</v>
      </c>
      <c r="B44" s="18">
        <v>47</v>
      </c>
      <c r="C44" s="19" t="s">
        <v>286</v>
      </c>
    </row>
    <row r="45" spans="1:3" ht="90" x14ac:dyDescent="0.25">
      <c r="A45" s="18" t="s">
        <v>242</v>
      </c>
      <c r="B45" s="18">
        <v>48</v>
      </c>
      <c r="C45" s="19" t="s">
        <v>287</v>
      </c>
    </row>
    <row r="46" spans="1:3" ht="90" x14ac:dyDescent="0.25">
      <c r="A46" s="18" t="s">
        <v>242</v>
      </c>
      <c r="B46" s="18">
        <v>49</v>
      </c>
      <c r="C46" s="19" t="s">
        <v>288</v>
      </c>
    </row>
    <row r="47" spans="1:3" ht="90" x14ac:dyDescent="0.25">
      <c r="A47" s="18" t="s">
        <v>242</v>
      </c>
      <c r="B47" s="18">
        <v>50</v>
      </c>
      <c r="C47" s="19" t="s">
        <v>289</v>
      </c>
    </row>
    <row r="48" spans="1:3" ht="90" x14ac:dyDescent="0.25">
      <c r="A48" s="18" t="s">
        <v>242</v>
      </c>
      <c r="B48" s="18">
        <v>51</v>
      </c>
      <c r="C48" s="19" t="s">
        <v>290</v>
      </c>
    </row>
    <row r="49" spans="1:3" ht="90" x14ac:dyDescent="0.25">
      <c r="A49" s="18" t="s">
        <v>242</v>
      </c>
      <c r="B49" s="18">
        <v>52</v>
      </c>
      <c r="C49" s="19" t="s">
        <v>291</v>
      </c>
    </row>
    <row r="50" spans="1:3" ht="90" x14ac:dyDescent="0.25">
      <c r="A50" s="18" t="s">
        <v>242</v>
      </c>
      <c r="B50" s="18">
        <v>53</v>
      </c>
      <c r="C50" s="19" t="s">
        <v>292</v>
      </c>
    </row>
    <row r="51" spans="1:3" ht="90" x14ac:dyDescent="0.25">
      <c r="A51" s="18" t="s">
        <v>242</v>
      </c>
      <c r="B51" s="18">
        <v>54</v>
      </c>
      <c r="C51" s="19" t="s">
        <v>293</v>
      </c>
    </row>
    <row r="52" spans="1:3" ht="90" x14ac:dyDescent="0.25">
      <c r="A52" s="18" t="s">
        <v>242</v>
      </c>
      <c r="B52" s="18">
        <v>55</v>
      </c>
      <c r="C52" s="19" t="s">
        <v>294</v>
      </c>
    </row>
    <row r="53" spans="1:3" ht="90" x14ac:dyDescent="0.25">
      <c r="A53" s="18" t="s">
        <v>242</v>
      </c>
      <c r="B53" s="18">
        <v>56</v>
      </c>
      <c r="C53" s="19" t="s">
        <v>295</v>
      </c>
    </row>
    <row r="54" spans="1:3" ht="90" x14ac:dyDescent="0.25">
      <c r="A54" s="18" t="s">
        <v>242</v>
      </c>
      <c r="B54" s="18">
        <v>57</v>
      </c>
      <c r="C54" s="19" t="s">
        <v>296</v>
      </c>
    </row>
    <row r="55" spans="1:3" ht="90" x14ac:dyDescent="0.25">
      <c r="A55" s="18" t="s">
        <v>242</v>
      </c>
      <c r="B55" s="18">
        <v>58</v>
      </c>
      <c r="C55" s="19" t="s">
        <v>297</v>
      </c>
    </row>
    <row r="56" spans="1:3" ht="90" x14ac:dyDescent="0.25">
      <c r="A56" s="18" t="s">
        <v>242</v>
      </c>
      <c r="B56" s="18">
        <v>59</v>
      </c>
      <c r="C56" s="19" t="s">
        <v>298</v>
      </c>
    </row>
    <row r="57" spans="1:3" ht="90" x14ac:dyDescent="0.25">
      <c r="A57" s="18" t="s">
        <v>242</v>
      </c>
      <c r="B57" s="18">
        <v>60</v>
      </c>
      <c r="C57" s="19" t="s">
        <v>299</v>
      </c>
    </row>
    <row r="58" spans="1:3" ht="90" x14ac:dyDescent="0.25">
      <c r="A58" s="18" t="s">
        <v>242</v>
      </c>
      <c r="B58" s="18">
        <v>61</v>
      </c>
      <c r="C58" s="19" t="s">
        <v>300</v>
      </c>
    </row>
    <row r="59" spans="1:3" ht="90" x14ac:dyDescent="0.25">
      <c r="A59" s="18" t="s">
        <v>242</v>
      </c>
      <c r="B59" s="18">
        <v>62</v>
      </c>
      <c r="C59" s="19" t="s">
        <v>301</v>
      </c>
    </row>
    <row r="60" spans="1:3" ht="90" x14ac:dyDescent="0.25">
      <c r="A60" s="18" t="s">
        <v>242</v>
      </c>
      <c r="B60" s="18">
        <v>63</v>
      </c>
      <c r="C60" s="19" t="s">
        <v>302</v>
      </c>
    </row>
    <row r="61" spans="1:3" ht="90" x14ac:dyDescent="0.25">
      <c r="A61" s="18" t="s">
        <v>242</v>
      </c>
      <c r="B61" s="18">
        <v>64</v>
      </c>
      <c r="C61" s="19" t="s">
        <v>303</v>
      </c>
    </row>
    <row r="62" spans="1:3" ht="90" x14ac:dyDescent="0.25">
      <c r="A62" s="18" t="s">
        <v>242</v>
      </c>
      <c r="B62" s="18">
        <v>65</v>
      </c>
      <c r="C62" s="19" t="s">
        <v>304</v>
      </c>
    </row>
    <row r="63" spans="1:3" ht="90" x14ac:dyDescent="0.25">
      <c r="A63" s="18" t="s">
        <v>242</v>
      </c>
      <c r="B63" s="18">
        <v>66</v>
      </c>
      <c r="C63" s="19" t="s">
        <v>305</v>
      </c>
    </row>
    <row r="64" spans="1:3" ht="90" x14ac:dyDescent="0.25">
      <c r="A64" s="18" t="s">
        <v>242</v>
      </c>
      <c r="B64" s="18">
        <v>67</v>
      </c>
      <c r="C64" s="19" t="s">
        <v>306</v>
      </c>
    </row>
    <row r="65" spans="1:3" ht="90" x14ac:dyDescent="0.25">
      <c r="A65" s="18" t="s">
        <v>242</v>
      </c>
      <c r="B65" s="18">
        <v>68</v>
      </c>
      <c r="C65" s="19" t="s">
        <v>307</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2021-01-28T15:14:38Z</dcterms:modified>
</cp:coreProperties>
</file>