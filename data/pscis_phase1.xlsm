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passagr_phase1_template\data\"/>
    </mc:Choice>
  </mc:AlternateContent>
  <xr:revisionPtr revIDLastSave="0" documentId="13_ncr:1_{358337D2-FB32-4AC2-AD68-1F11C73B509E}"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7" i="2"/>
  <c r="AM51" i="2"/>
  <c r="AM48" i="2"/>
  <c r="AM36" i="2"/>
  <c r="AM29" i="2"/>
  <c r="AM28" i="2"/>
  <c r="AM25" i="2"/>
  <c r="AM24" i="2"/>
  <c r="AM21" i="2"/>
  <c r="AM20" i="2"/>
  <c r="AJ5283" i="2"/>
  <c r="AI5283" i="2"/>
  <c r="AH5283" i="2"/>
  <c r="AG5283" i="2"/>
  <c r="AF5283" i="2"/>
  <c r="AK5283" i="2" s="1"/>
  <c r="AJ5282" i="2"/>
  <c r="AI5282" i="2"/>
  <c r="AH5282" i="2"/>
  <c r="AG5282" i="2"/>
  <c r="AL5282" i="2" s="1"/>
  <c r="AF5282" i="2"/>
  <c r="AK5282" i="2" s="1"/>
  <c r="AJ5281" i="2"/>
  <c r="AI5281" i="2"/>
  <c r="AH5281" i="2"/>
  <c r="AG5281" i="2"/>
  <c r="AF5281" i="2"/>
  <c r="AK5281" i="2"/>
  <c r="AJ5280" i="2"/>
  <c r="AI5280" i="2"/>
  <c r="AH5280" i="2"/>
  <c r="AG5280" i="2"/>
  <c r="AF5280" i="2"/>
  <c r="AK5280" i="2" s="1"/>
  <c r="AL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L5258" i="2" s="1"/>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L5234" i="2" s="1"/>
  <c r="AF5234" i="2"/>
  <c r="AK5234" i="2" s="1"/>
  <c r="AJ5233" i="2"/>
  <c r="AI5233" i="2"/>
  <c r="AH5233" i="2"/>
  <c r="AG5233" i="2"/>
  <c r="AF5233" i="2"/>
  <c r="AK5233" i="2"/>
  <c r="AJ5232" i="2"/>
  <c r="AI5232" i="2"/>
  <c r="AH5232" i="2"/>
  <c r="AG5232" i="2"/>
  <c r="AF5232" i="2"/>
  <c r="AK5232" i="2" s="1"/>
  <c r="AL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c r="AJ5056" i="2"/>
  <c r="AI5056" i="2"/>
  <c r="AH5056" i="2"/>
  <c r="AG5056" i="2"/>
  <c r="AF5056" i="2"/>
  <c r="AK5056" i="2" s="1"/>
  <c r="AJ5055" i="2"/>
  <c r="AI5055" i="2"/>
  <c r="AH5055" i="2"/>
  <c r="AG5055" i="2"/>
  <c r="AF5055" i="2"/>
  <c r="AK5055" i="2" s="1"/>
  <c r="AL5055" i="2" s="1"/>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L5027" i="2" s="1"/>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L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L66" i="2" s="1"/>
  <c r="AM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c r="AG70" i="2"/>
  <c r="AH70" i="2"/>
  <c r="AI70" i="2"/>
  <c r="AJ70" i="2"/>
  <c r="AF71" i="2"/>
  <c r="AK71" i="2" s="1"/>
  <c r="AL71" i="2" s="1"/>
  <c r="AG71" i="2"/>
  <c r="AH71" i="2"/>
  <c r="AI71" i="2"/>
  <c r="AJ71" i="2"/>
  <c r="AF72" i="2"/>
  <c r="AK72" i="2"/>
  <c r="AG72" i="2"/>
  <c r="AH72" i="2"/>
  <c r="AI72" i="2"/>
  <c r="AJ72" i="2"/>
  <c r="AF73" i="2"/>
  <c r="AK73" i="2" s="1"/>
  <c r="AL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L95" i="2" s="1"/>
  <c r="AG95" i="2"/>
  <c r="AH95" i="2"/>
  <c r="AI95" i="2"/>
  <c r="AJ95" i="2"/>
  <c r="AF96" i="2"/>
  <c r="AK96" i="2"/>
  <c r="AG96" i="2"/>
  <c r="AH96" i="2"/>
  <c r="AI96" i="2"/>
  <c r="AJ96" i="2"/>
  <c r="AF97" i="2"/>
  <c r="AK97" i="2" s="1"/>
  <c r="AL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L119" i="2" s="1"/>
  <c r="AG119" i="2"/>
  <c r="AH119" i="2"/>
  <c r="AI119" i="2"/>
  <c r="AJ119" i="2"/>
  <c r="AF120" i="2"/>
  <c r="AK120" i="2"/>
  <c r="AG120" i="2"/>
  <c r="AH120" i="2"/>
  <c r="AI120" i="2"/>
  <c r="AJ120" i="2"/>
  <c r="AF121" i="2"/>
  <c r="AK121" i="2" s="1"/>
  <c r="AL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L716" i="2" s="1"/>
  <c r="AJ716" i="2"/>
  <c r="AF717" i="2"/>
  <c r="AK717" i="2" s="1"/>
  <c r="AG717" i="2"/>
  <c r="AH717" i="2"/>
  <c r="AI717" i="2"/>
  <c r="AJ717" i="2"/>
  <c r="AF718" i="2"/>
  <c r="AK718" i="2" s="1"/>
  <c r="AG718" i="2"/>
  <c r="AH718" i="2"/>
  <c r="AI718" i="2"/>
  <c r="AJ718" i="2"/>
  <c r="AF719" i="2"/>
  <c r="AK719" i="2" s="1"/>
  <c r="AL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L764" i="2" s="1"/>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L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L1088" i="2" s="1"/>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L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L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L1314" i="2" s="1"/>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L1343" i="2" s="1"/>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L1356" i="2" s="1"/>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L1588" i="2" s="1"/>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L1789" i="2" s="1"/>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L1971" i="2" s="1"/>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L2006" i="2" s="1"/>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L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L2149" i="2" s="1"/>
  <c r="AH2149" i="2"/>
  <c r="AI2149" i="2"/>
  <c r="AJ2149" i="2"/>
  <c r="AF2150" i="2"/>
  <c r="AK2150" i="2"/>
  <c r="AG2150" i="2"/>
  <c r="AH2150" i="2"/>
  <c r="AI2150" i="2"/>
  <c r="AJ2150" i="2"/>
  <c r="AF2151" i="2"/>
  <c r="AK2151" i="2"/>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L2159" i="2" s="1"/>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L2199" i="2" s="1"/>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L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L2216" i="2" s="1"/>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L2224" i="2" s="1"/>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L2260" i="2" s="1"/>
  <c r="AG2260" i="2"/>
  <c r="AH2260" i="2"/>
  <c r="AI2260" i="2"/>
  <c r="AJ2260" i="2"/>
  <c r="AF2261" i="2"/>
  <c r="AK2261" i="2"/>
  <c r="AG2261" i="2"/>
  <c r="AH2261" i="2"/>
  <c r="AI2261" i="2"/>
  <c r="AJ2261" i="2"/>
  <c r="AF2262" i="2"/>
  <c r="AK2262" i="2" s="1"/>
  <c r="AL2262" i="2" s="1"/>
  <c r="AG2262" i="2"/>
  <c r="AH2262" i="2"/>
  <c r="AI2262" i="2"/>
  <c r="AJ2262" i="2"/>
  <c r="AF2263" i="2"/>
  <c r="AK2263" i="2" s="1"/>
  <c r="AG2263" i="2"/>
  <c r="AH2263" i="2"/>
  <c r="AI2263" i="2"/>
  <c r="AJ2263" i="2"/>
  <c r="AF2264" i="2"/>
  <c r="AK2264" i="2"/>
  <c r="AG2264" i="2"/>
  <c r="AH2264" i="2"/>
  <c r="AI2264" i="2"/>
  <c r="AL2264" i="2" s="1"/>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L2268" i="2" s="1"/>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L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L2284" i="2" s="1"/>
  <c r="AG2284" i="2"/>
  <c r="AH2284" i="2"/>
  <c r="AI2284" i="2"/>
  <c r="AJ2284" i="2"/>
  <c r="AF2285" i="2"/>
  <c r="AK2285" i="2"/>
  <c r="AG2285" i="2"/>
  <c r="AH2285" i="2"/>
  <c r="AI2285" i="2"/>
  <c r="AJ2285" i="2"/>
  <c r="AF2286" i="2"/>
  <c r="AK2286" i="2" s="1"/>
  <c r="AG2286" i="2"/>
  <c r="AL2286" i="2" s="1"/>
  <c r="AH2286" i="2"/>
  <c r="AI2286" i="2"/>
  <c r="AJ2286" i="2"/>
  <c r="AF2287" i="2"/>
  <c r="AK2287" i="2"/>
  <c r="AG2287" i="2"/>
  <c r="AH2287" i="2"/>
  <c r="AI2287" i="2"/>
  <c r="AJ2287" i="2"/>
  <c r="AF2288" i="2"/>
  <c r="AK2288" i="2" s="1"/>
  <c r="AG2288" i="2"/>
  <c r="AH2288" i="2"/>
  <c r="AL2288" i="2" s="1"/>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L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L2383" i="2" s="1"/>
  <c r="AI2383" i="2"/>
  <c r="AJ2383" i="2"/>
  <c r="AF2384" i="2"/>
  <c r="AK2384" i="2" s="1"/>
  <c r="AL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L2390" i="2" s="1"/>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L2399" i="2" s="1"/>
  <c r="AF2400" i="2"/>
  <c r="AK2400" i="2" s="1"/>
  <c r="AG2400" i="2"/>
  <c r="AH2400" i="2"/>
  <c r="AI2400" i="2"/>
  <c r="AJ2400" i="2"/>
  <c r="AF2401" i="2"/>
  <c r="AK2401" i="2"/>
  <c r="AG2401" i="2"/>
  <c r="AH2401" i="2"/>
  <c r="AI2401" i="2"/>
  <c r="AJ2401" i="2"/>
  <c r="AF2402" i="2"/>
  <c r="AK2402" i="2" s="1"/>
  <c r="AL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L2416" i="2" s="1"/>
  <c r="AH2416" i="2"/>
  <c r="AI2416" i="2"/>
  <c r="AJ2416" i="2"/>
  <c r="AF2417" i="2"/>
  <c r="AK2417" i="2" s="1"/>
  <c r="AG2417" i="2"/>
  <c r="AH2417" i="2"/>
  <c r="AL2417" i="2" s="1"/>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L2437" i="2" s="1"/>
  <c r="AG2437" i="2"/>
  <c r="AH2437" i="2"/>
  <c r="AI2437" i="2"/>
  <c r="AJ2437" i="2"/>
  <c r="AF2438" i="2"/>
  <c r="AK2438" i="2" s="1"/>
  <c r="AG2438" i="2"/>
  <c r="AL2438" i="2" s="1"/>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G2448" i="2"/>
  <c r="AH2448" i="2"/>
  <c r="AL2448" i="2" s="1"/>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L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L2468" i="2" s="1"/>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L2568" i="2" s="1"/>
  <c r="AG2568" i="2"/>
  <c r="AH2568" i="2"/>
  <c r="AI2568" i="2"/>
  <c r="AJ2568" i="2"/>
  <c r="AF2569" i="2"/>
  <c r="AK2569" i="2" s="1"/>
  <c r="AG2569" i="2"/>
  <c r="AH2569" i="2"/>
  <c r="AI2569" i="2"/>
  <c r="AJ2569" i="2"/>
  <c r="AF2570" i="2"/>
  <c r="AK2570" i="2"/>
  <c r="AG2570" i="2"/>
  <c r="AH2570" i="2"/>
  <c r="AI2570" i="2"/>
  <c r="AJ2570" i="2"/>
  <c r="AF2571" i="2"/>
  <c r="AK2571" i="2" s="1"/>
  <c r="AG2571" i="2"/>
  <c r="AH2571" i="2"/>
  <c r="AI2571" i="2"/>
  <c r="AJ2571" i="2"/>
  <c r="AL2571" i="2" s="1"/>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L2605" i="2"/>
  <c r="AI2605" i="2"/>
  <c r="AJ2605" i="2"/>
  <c r="AF2606" i="2"/>
  <c r="AK2606" i="2"/>
  <c r="AG2606" i="2"/>
  <c r="AH2606" i="2"/>
  <c r="AL2606" i="2" s="1"/>
  <c r="AI2606" i="2"/>
  <c r="AJ2606" i="2"/>
  <c r="AF2607" i="2"/>
  <c r="AK2607" i="2" s="1"/>
  <c r="AG2607" i="2"/>
  <c r="AH2607" i="2"/>
  <c r="AI2607" i="2"/>
  <c r="AJ2607" i="2"/>
  <c r="AF2608" i="2"/>
  <c r="AK2608" i="2"/>
  <c r="AL2608" i="2"/>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L2636" i="2" s="1"/>
  <c r="AG2636" i="2"/>
  <c r="AH2636" i="2"/>
  <c r="AI2636" i="2"/>
  <c r="AJ2636" i="2"/>
  <c r="AF2637" i="2"/>
  <c r="AK2637" i="2" s="1"/>
  <c r="AG2637" i="2"/>
  <c r="AH2637" i="2"/>
  <c r="AI2637" i="2"/>
  <c r="AJ2637" i="2"/>
  <c r="AF2638" i="2"/>
  <c r="AK2638" i="2" s="1"/>
  <c r="AG2638" i="2"/>
  <c r="AH2638" i="2"/>
  <c r="AL2638" i="2" s="1"/>
  <c r="AI2638" i="2"/>
  <c r="AJ2638" i="2"/>
  <c r="AF2639" i="2"/>
  <c r="AK2639" i="2"/>
  <c r="AG2639" i="2"/>
  <c r="AH2639" i="2"/>
  <c r="AI2639" i="2"/>
  <c r="AJ2639" i="2"/>
  <c r="AF2640" i="2"/>
  <c r="AK2640" i="2" s="1"/>
  <c r="AG2640" i="2"/>
  <c r="AH2640" i="2"/>
  <c r="AI2640" i="2"/>
  <c r="AL2640" i="2" s="1"/>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L2649" i="2" s="1"/>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c r="AG2655" i="2"/>
  <c r="AH2655" i="2"/>
  <c r="AI2655" i="2"/>
  <c r="AL2655" i="2" s="1"/>
  <c r="AJ2655" i="2"/>
  <c r="AF2656" i="2"/>
  <c r="AK2656" i="2"/>
  <c r="AG2656" i="2"/>
  <c r="AH2656" i="2"/>
  <c r="AI2656" i="2"/>
  <c r="AJ2656" i="2"/>
  <c r="AF2657" i="2"/>
  <c r="AK2657" i="2"/>
  <c r="AG2657" i="2"/>
  <c r="AH2657" i="2"/>
  <c r="AI2657" i="2"/>
  <c r="AL2657" i="2" s="1"/>
  <c r="AJ2657" i="2"/>
  <c r="AF2658" i="2"/>
  <c r="AK2658" i="2"/>
  <c r="AG2658" i="2"/>
  <c r="AH2658" i="2"/>
  <c r="AI2658" i="2"/>
  <c r="AJ2658" i="2"/>
  <c r="AF2659" i="2"/>
  <c r="AK2659" i="2"/>
  <c r="AG2659" i="2"/>
  <c r="AH2659" i="2"/>
  <c r="AI2659" i="2"/>
  <c r="AL2659" i="2" s="1"/>
  <c r="AJ2659" i="2"/>
  <c r="AF2660" i="2"/>
  <c r="AK2660" i="2"/>
  <c r="AG2660" i="2"/>
  <c r="AH2660" i="2"/>
  <c r="AI2660" i="2"/>
  <c r="AJ2660" i="2"/>
  <c r="AF2661" i="2"/>
  <c r="AK2661" i="2"/>
  <c r="AG2661" i="2"/>
  <c r="AH2661" i="2"/>
  <c r="AI2661" i="2"/>
  <c r="AL2661" i="2" s="1"/>
  <c r="AJ2661" i="2"/>
  <c r="AF2662" i="2"/>
  <c r="AK2662" i="2"/>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L2665" i="2" s="1"/>
  <c r="AI2665" i="2"/>
  <c r="AJ2665" i="2"/>
  <c r="AF2666" i="2"/>
  <c r="AK2666" i="2" s="1"/>
  <c r="AG2666" i="2"/>
  <c r="AH2666" i="2"/>
  <c r="AI2666" i="2"/>
  <c r="AJ2666" i="2"/>
  <c r="AF2667" i="2"/>
  <c r="AK2667" i="2" s="1"/>
  <c r="AG2667" i="2"/>
  <c r="AH2667" i="2"/>
  <c r="AI2667" i="2"/>
  <c r="AJ2667" i="2"/>
  <c r="AF2668" i="2"/>
  <c r="AK2668" i="2" s="1"/>
  <c r="AL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L2673" i="2"/>
  <c r="AH2673" i="2"/>
  <c r="AI2673" i="2"/>
  <c r="AJ2673" i="2"/>
  <c r="AF2674" i="2"/>
  <c r="AK2674" i="2" s="1"/>
  <c r="AL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L2689" i="2" s="1"/>
  <c r="AG2689" i="2"/>
  <c r="AH2689" i="2"/>
  <c r="AI2689" i="2"/>
  <c r="AJ2689" i="2"/>
  <c r="AF2690" i="2"/>
  <c r="AK2690" i="2"/>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L2737" i="2" s="1"/>
  <c r="AJ2737" i="2"/>
  <c r="AF2738" i="2"/>
  <c r="AK2738" i="2" s="1"/>
  <c r="AG2738" i="2"/>
  <c r="AH2738" i="2"/>
  <c r="AI2738" i="2"/>
  <c r="AJ2738" i="2"/>
  <c r="AF2739" i="2"/>
  <c r="AK2739" i="2" s="1"/>
  <c r="AG2739" i="2"/>
  <c r="AH2739" i="2"/>
  <c r="AI2739" i="2"/>
  <c r="AJ2739" i="2"/>
  <c r="AF2740" i="2"/>
  <c r="AK2740" i="2" s="1"/>
  <c r="AL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L2819" i="2" s="1"/>
  <c r="AH2819" i="2"/>
  <c r="AI2819" i="2"/>
  <c r="AJ2819" i="2"/>
  <c r="AF2820" i="2"/>
  <c r="AK2820" i="2"/>
  <c r="AG2820" i="2"/>
  <c r="AH2820" i="2"/>
  <c r="AI2820" i="2"/>
  <c r="AJ2820" i="2"/>
  <c r="AF2821" i="2"/>
  <c r="AK2821" i="2" s="1"/>
  <c r="AG2821" i="2"/>
  <c r="AH2821" i="2"/>
  <c r="AL2821" i="2" s="1"/>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L2872" i="2" s="1"/>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L2968" i="2" s="1"/>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L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I3099" i="2"/>
  <c r="AL3099" i="2" s="1"/>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L3138" i="2" s="1"/>
  <c r="AJ3138" i="2"/>
  <c r="AF3139" i="2"/>
  <c r="AK3139" i="2" s="1"/>
  <c r="AG3139" i="2"/>
  <c r="AH3139" i="2"/>
  <c r="AI3139" i="2"/>
  <c r="AJ3139" i="2"/>
  <c r="AF3140" i="2"/>
  <c r="AK3140" i="2"/>
  <c r="AG3140" i="2"/>
  <c r="AH3140" i="2"/>
  <c r="AI3140" i="2"/>
  <c r="AJ3140" i="2"/>
  <c r="AF3141" i="2"/>
  <c r="AK3141" i="2" s="1"/>
  <c r="AG3141" i="2"/>
  <c r="AH3141" i="2"/>
  <c r="AL3141" i="2" s="1"/>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L3156" i="2" s="1"/>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L3163" i="2" s="1"/>
  <c r="AG3163" i="2"/>
  <c r="AH3163" i="2"/>
  <c r="AI3163" i="2"/>
  <c r="AJ3163" i="2"/>
  <c r="AF3164" i="2"/>
  <c r="AK3164" i="2" s="1"/>
  <c r="AG3164" i="2"/>
  <c r="AH3164" i="2"/>
  <c r="AI3164" i="2"/>
  <c r="AJ3164" i="2"/>
  <c r="AF3165" i="2"/>
  <c r="AK3165" i="2"/>
  <c r="AG3165" i="2"/>
  <c r="AL3165" i="2" s="1"/>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L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L3178" i="2" s="1"/>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L3187" i="2" s="1"/>
  <c r="AH3187" i="2"/>
  <c r="AI3187" i="2"/>
  <c r="AJ3187" i="2"/>
  <c r="AK3187" i="2"/>
  <c r="AF3188" i="2"/>
  <c r="AK3188" i="2" s="1"/>
  <c r="AG3188" i="2"/>
  <c r="AH3188" i="2"/>
  <c r="AI3188" i="2"/>
  <c r="AJ3188" i="2"/>
  <c r="AF3189" i="2"/>
  <c r="AK3189" i="2"/>
  <c r="AG3189" i="2"/>
  <c r="AL3189" i="2" s="1"/>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L3202" i="2" s="1"/>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L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H3254" i="2"/>
  <c r="AL3254" i="2" s="1"/>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L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L3286" i="2" s="1"/>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L3300" i="2"/>
  <c r="AG3300" i="2"/>
  <c r="AH3300" i="2"/>
  <c r="AI3300" i="2"/>
  <c r="AJ3300" i="2"/>
  <c r="AF3301" i="2"/>
  <c r="AK3301" i="2" s="1"/>
  <c r="AG3301" i="2"/>
  <c r="AL3301" i="2" s="1"/>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L3305" i="2" s="1"/>
  <c r="AH3305" i="2"/>
  <c r="AI3305" i="2"/>
  <c r="AJ3305" i="2"/>
  <c r="AF3306" i="2"/>
  <c r="AK3306" i="2" s="1"/>
  <c r="AL3306" i="2" s="1"/>
  <c r="AG3306" i="2"/>
  <c r="AH3306" i="2"/>
  <c r="AI3306" i="2"/>
  <c r="AJ3306" i="2"/>
  <c r="AF3307" i="2"/>
  <c r="AK3307" i="2"/>
  <c r="AL3307" i="2" s="1"/>
  <c r="AG3307" i="2"/>
  <c r="AH3307" i="2"/>
  <c r="AI3307" i="2"/>
  <c r="AJ3307" i="2"/>
  <c r="AF3308" i="2"/>
  <c r="AK3308" i="2"/>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L3327" i="2" s="1"/>
  <c r="AH3327" i="2"/>
  <c r="AI3327" i="2"/>
  <c r="AJ3327" i="2"/>
  <c r="AF3328" i="2"/>
  <c r="AK3328" i="2"/>
  <c r="AL3328" i="2" s="1"/>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L3360" i="2"/>
  <c r="AH3360" i="2"/>
  <c r="AI3360" i="2"/>
  <c r="AJ3360" i="2"/>
  <c r="AF3361" i="2"/>
  <c r="AK3361" i="2"/>
  <c r="AG3361" i="2"/>
  <c r="AH3361" i="2"/>
  <c r="AI3361" i="2"/>
  <c r="AJ3361" i="2"/>
  <c r="AF3362" i="2"/>
  <c r="AK3362" i="2" s="1"/>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L3366" i="2" s="1"/>
  <c r="AG3366" i="2"/>
  <c r="AH3366" i="2"/>
  <c r="AI3366" i="2"/>
  <c r="AJ3366" i="2"/>
  <c r="AF3367" i="2"/>
  <c r="AK3367" i="2" s="1"/>
  <c r="AG3367" i="2"/>
  <c r="AH3367" i="2"/>
  <c r="AI3367" i="2"/>
  <c r="AJ3367" i="2"/>
  <c r="AF3368" i="2"/>
  <c r="AK3368" i="2"/>
  <c r="AG3368" i="2"/>
  <c r="AL3368" i="2" s="1"/>
  <c r="AH3368" i="2"/>
  <c r="AI3368" i="2"/>
  <c r="AJ3368" i="2"/>
  <c r="AF3369" i="2"/>
  <c r="AK3369" i="2" s="1"/>
  <c r="AG3369" i="2"/>
  <c r="AH3369" i="2"/>
  <c r="AI3369" i="2"/>
  <c r="AJ3369" i="2"/>
  <c r="AF3370" i="2"/>
  <c r="AK3370" i="2"/>
  <c r="AG3370" i="2"/>
  <c r="AL3370" i="2" s="1"/>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L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L3385" i="2" s="1"/>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L3431" i="2" s="1"/>
  <c r="AG3431" i="2"/>
  <c r="AH3431" i="2"/>
  <c r="AI3431" i="2"/>
  <c r="AJ3431" i="2"/>
  <c r="AF3432" i="2"/>
  <c r="AK3432" i="2"/>
  <c r="AG3432" i="2"/>
  <c r="AH3432" i="2"/>
  <c r="AI3432" i="2"/>
  <c r="AJ3432" i="2"/>
  <c r="AF3433" i="2"/>
  <c r="AK3433" i="2" s="1"/>
  <c r="AG3433" i="2"/>
  <c r="AL3433" i="2" s="1"/>
  <c r="AH3433" i="2"/>
  <c r="AI3433" i="2"/>
  <c r="AJ3433" i="2"/>
  <c r="AF3434" i="2"/>
  <c r="AK3434" i="2"/>
  <c r="AG3434" i="2"/>
  <c r="AH3434" i="2"/>
  <c r="AI3434" i="2"/>
  <c r="AJ3434" i="2"/>
  <c r="AF3435" i="2"/>
  <c r="AK3435" i="2" s="1"/>
  <c r="AG3435" i="2"/>
  <c r="AL3435" i="2" s="1"/>
  <c r="AH3435" i="2"/>
  <c r="AI3435" i="2"/>
  <c r="AJ3435" i="2"/>
  <c r="AF3436" i="2"/>
  <c r="AK3436" i="2"/>
  <c r="AG3436" i="2"/>
  <c r="AH3436" i="2"/>
  <c r="AI3436" i="2"/>
  <c r="AJ3436" i="2"/>
  <c r="AF3437" i="2"/>
  <c r="AK3437" i="2" s="1"/>
  <c r="AG3437" i="2"/>
  <c r="AH3437" i="2"/>
  <c r="AL3437" i="2" s="1"/>
  <c r="AI3437" i="2"/>
  <c r="AJ3437" i="2"/>
  <c r="AF3438" i="2"/>
  <c r="AK3438" i="2"/>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s="1"/>
  <c r="AL3442" i="2" s="1"/>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L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L3465" i="2"/>
  <c r="AF3466" i="2"/>
  <c r="AK3466" i="2" s="1"/>
  <c r="AL3466" i="2" s="1"/>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L3475" i="2" s="1"/>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L3492" i="2" s="1"/>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F3496" i="2"/>
  <c r="AK3496" i="2"/>
  <c r="AG3496" i="2"/>
  <c r="AH3496" i="2"/>
  <c r="AI3496" i="2"/>
  <c r="AJ3496" i="2"/>
  <c r="AF3497" i="2"/>
  <c r="AK3497" i="2" s="1"/>
  <c r="AL3497" i="2" s="1"/>
  <c r="AG3497" i="2"/>
  <c r="AH3497" i="2"/>
  <c r="AI3497" i="2"/>
  <c r="AJ3497" i="2"/>
  <c r="AF3498" i="2"/>
  <c r="AK3498" i="2" s="1"/>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L3515" i="2" s="1"/>
  <c r="AI3515" i="2"/>
  <c r="AJ3515" i="2"/>
  <c r="AF3516" i="2"/>
  <c r="AK3516" i="2"/>
  <c r="AG3516" i="2"/>
  <c r="AH3516" i="2"/>
  <c r="AI3516" i="2"/>
  <c r="AJ3516" i="2"/>
  <c r="AF3517" i="2"/>
  <c r="AK3517" i="2" s="1"/>
  <c r="AG3517" i="2"/>
  <c r="AH3517" i="2"/>
  <c r="AI3517" i="2"/>
  <c r="AJ3517" i="2"/>
  <c r="AF3518" i="2"/>
  <c r="AK3518" i="2" s="1"/>
  <c r="AL3518" i="2" s="1"/>
  <c r="AG3518" i="2"/>
  <c r="AH3518" i="2"/>
  <c r="AI3518" i="2"/>
  <c r="AJ3518" i="2"/>
  <c r="AF3519" i="2"/>
  <c r="AK3519" i="2"/>
  <c r="AG3519" i="2"/>
  <c r="AH3519" i="2"/>
  <c r="AI3519" i="2"/>
  <c r="AJ3519" i="2"/>
  <c r="AF3520" i="2"/>
  <c r="AK3520" i="2" s="1"/>
  <c r="AL3520" i="2" s="1"/>
  <c r="AG3520" i="2"/>
  <c r="AH3520" i="2"/>
  <c r="AI3520" i="2"/>
  <c r="AJ3520" i="2"/>
  <c r="AF3521" i="2"/>
  <c r="AK3521" i="2"/>
  <c r="AG3521" i="2"/>
  <c r="AH3521" i="2"/>
  <c r="AI3521" i="2"/>
  <c r="AJ3521" i="2"/>
  <c r="AL3521" i="2" s="1"/>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L3526" i="2" s="1"/>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L3530" i="2" s="1"/>
  <c r="AH3530" i="2"/>
  <c r="AI3530" i="2"/>
  <c r="AJ3530" i="2"/>
  <c r="AF3531" i="2"/>
  <c r="AK3531" i="2"/>
  <c r="AG3531" i="2"/>
  <c r="AL3531" i="2" s="1"/>
  <c r="AH3531" i="2"/>
  <c r="AI3531" i="2"/>
  <c r="AJ3531" i="2"/>
  <c r="AF3532" i="2"/>
  <c r="AK3532" i="2"/>
  <c r="AG3532" i="2"/>
  <c r="AH3532" i="2"/>
  <c r="AL3532" i="2" s="1"/>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L3548" i="2" s="1"/>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G3555" i="2"/>
  <c r="AH3555" i="2"/>
  <c r="AL3555" i="2" s="1"/>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L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L3579" i="2" s="1"/>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L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L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L3740" i="2" s="1"/>
  <c r="AG3740" i="2"/>
  <c r="AH3740" i="2"/>
  <c r="AI3740" i="2"/>
  <c r="AJ3740" i="2"/>
  <c r="AF3741" i="2"/>
  <c r="AK3741" i="2" s="1"/>
  <c r="AL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c r="AG3755" i="2"/>
  <c r="AL3755" i="2" s="1"/>
  <c r="AH3755" i="2"/>
  <c r="AI3755" i="2"/>
  <c r="AJ3755" i="2"/>
  <c r="AF3756" i="2"/>
  <c r="AK3756" i="2" s="1"/>
  <c r="AG3756" i="2"/>
  <c r="AH3756" i="2"/>
  <c r="AI3756" i="2"/>
  <c r="AJ3756" i="2"/>
  <c r="AF3757" i="2"/>
  <c r="AK3757" i="2"/>
  <c r="AG3757" i="2"/>
  <c r="AH3757" i="2"/>
  <c r="AL3757" i="2" s="1"/>
  <c r="AI3757" i="2"/>
  <c r="AJ3757" i="2"/>
  <c r="AF3758" i="2"/>
  <c r="AK3758" i="2"/>
  <c r="AG3758" i="2"/>
  <c r="AL3758" i="2" s="1"/>
  <c r="AH3758" i="2"/>
  <c r="AI3758" i="2"/>
  <c r="AJ3758" i="2"/>
  <c r="AF3759" i="2"/>
  <c r="AK3759" i="2"/>
  <c r="AG3759" i="2"/>
  <c r="AH3759" i="2"/>
  <c r="AI3759" i="2"/>
  <c r="AJ3759" i="2"/>
  <c r="AF3760" i="2"/>
  <c r="AK3760" i="2"/>
  <c r="AG3760" i="2"/>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L3764" i="2" s="1"/>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L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L3856" i="2" s="1"/>
  <c r="AH3856" i="2"/>
  <c r="AI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L3872" i="2" s="1"/>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L3883" i="2" s="1"/>
  <c r="AI3883" i="2"/>
  <c r="AJ3883" i="2"/>
  <c r="AF3884" i="2"/>
  <c r="AK3884" i="2"/>
  <c r="AG3884" i="2"/>
  <c r="AH3884" i="2"/>
  <c r="AL3884" i="2" s="1"/>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L3925" i="2" s="1"/>
  <c r="AI3925" i="2"/>
  <c r="AJ3925" i="2"/>
  <c r="AF3926" i="2"/>
  <c r="AK3926" i="2"/>
  <c r="AG3926" i="2"/>
  <c r="AH3926" i="2"/>
  <c r="AI3926" i="2"/>
  <c r="AJ3926" i="2"/>
  <c r="AF3927" i="2"/>
  <c r="AK3927" i="2" s="1"/>
  <c r="AL3927" i="2" s="1"/>
  <c r="AG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L3936" i="2" s="1"/>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H3956" i="2"/>
  <c r="AI3956" i="2"/>
  <c r="AJ3956" i="2"/>
  <c r="AL3956" i="2" s="1"/>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F4044" i="2"/>
  <c r="AK4044" i="2" s="1"/>
  <c r="AL4044" i="2" s="1"/>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L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L4072" i="2" s="1"/>
  <c r="AI4072" i="2"/>
  <c r="AJ4072" i="2"/>
  <c r="AF4073" i="2"/>
  <c r="AK4073" i="2"/>
  <c r="AG4073" i="2"/>
  <c r="AH4073" i="2"/>
  <c r="AI4073" i="2"/>
  <c r="AJ4073" i="2"/>
  <c r="AF4074" i="2"/>
  <c r="AK4074" i="2"/>
  <c r="AG4074" i="2"/>
  <c r="AH4074" i="2"/>
  <c r="AI4074" i="2"/>
  <c r="AJ4074" i="2"/>
  <c r="AF4075" i="2"/>
  <c r="AK4075" i="2"/>
  <c r="AG4075" i="2"/>
  <c r="AH4075" i="2"/>
  <c r="AL4075" i="2" s="1"/>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L4081" i="2" s="1"/>
  <c r="AH4081" i="2"/>
  <c r="AI4081" i="2"/>
  <c r="AJ4081" i="2"/>
  <c r="AF4082" i="2"/>
  <c r="AK4082" i="2" s="1"/>
  <c r="AG4082" i="2"/>
  <c r="AH4082" i="2"/>
  <c r="AI4082" i="2"/>
  <c r="AJ4082" i="2"/>
  <c r="AF4083" i="2"/>
  <c r="AK4083" i="2"/>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L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L4098" i="2" s="1"/>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L4111" i="2" s="1"/>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c r="AG4130" i="2"/>
  <c r="AH4130" i="2"/>
  <c r="AI4130" i="2"/>
  <c r="AJ4130" i="2"/>
  <c r="AF4131" i="2"/>
  <c r="AK4131" i="2"/>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L4145" i="2" s="1"/>
  <c r="AG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s="1"/>
  <c r="AL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L4153" i="2" s="1"/>
  <c r="AG4153" i="2"/>
  <c r="AH4153" i="2"/>
  <c r="AI4153" i="2"/>
  <c r="AJ4153" i="2"/>
  <c r="AF4154" i="2"/>
  <c r="AK4154" i="2"/>
  <c r="AG4154" i="2"/>
  <c r="AH4154" i="2"/>
  <c r="AI4154" i="2"/>
  <c r="AJ4154" i="2"/>
  <c r="AF4155" i="2"/>
  <c r="AK4155" i="2" s="1"/>
  <c r="AL4155" i="2" s="1"/>
  <c r="AG4155" i="2"/>
  <c r="AH4155" i="2"/>
  <c r="AI4155" i="2"/>
  <c r="AJ4155" i="2"/>
  <c r="AF4156" i="2"/>
  <c r="AK4156" i="2"/>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s="1"/>
  <c r="AG4163" i="2"/>
  <c r="AH4163" i="2"/>
  <c r="AL4163" i="2" s="1"/>
  <c r="AI4163" i="2"/>
  <c r="AJ4163" i="2"/>
  <c r="AF4164" i="2"/>
  <c r="AK4164" i="2" s="1"/>
  <c r="AG4164" i="2"/>
  <c r="AH4164" i="2"/>
  <c r="AI4164" i="2"/>
  <c r="AJ4164" i="2"/>
  <c r="AF4165" i="2"/>
  <c r="AK4165" i="2" s="1"/>
  <c r="AG4165" i="2"/>
  <c r="AH4165" i="2"/>
  <c r="AI4165" i="2"/>
  <c r="AJ4165" i="2"/>
  <c r="AL4165" i="2" s="1"/>
  <c r="AF4166" i="2"/>
  <c r="AK4166" i="2" s="1"/>
  <c r="AG4166" i="2"/>
  <c r="AH4166" i="2"/>
  <c r="AI4166" i="2"/>
  <c r="AJ4166" i="2"/>
  <c r="AF4167" i="2"/>
  <c r="AK4167" i="2" s="1"/>
  <c r="AG4167" i="2"/>
  <c r="AH4167" i="2"/>
  <c r="AI4167" i="2"/>
  <c r="AJ4167" i="2"/>
  <c r="AF4168" i="2"/>
  <c r="AK4168" i="2" s="1"/>
  <c r="AL4168" i="2" s="1"/>
  <c r="AG4168" i="2"/>
  <c r="AH4168" i="2"/>
  <c r="AI4168" i="2"/>
  <c r="AJ4168" i="2"/>
  <c r="AF4169" i="2"/>
  <c r="AK4169" i="2" s="1"/>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L4172" i="2" s="1"/>
  <c r="AI4172" i="2"/>
  <c r="AJ4172" i="2"/>
  <c r="AF4173" i="2"/>
  <c r="AK4173" i="2"/>
  <c r="AG4173" i="2"/>
  <c r="AH4173" i="2"/>
  <c r="AI4173" i="2"/>
  <c r="AJ4173" i="2"/>
  <c r="AF4174" i="2"/>
  <c r="AK4174" i="2"/>
  <c r="AG4174" i="2"/>
  <c r="AH4174" i="2"/>
  <c r="AL4174" i="2" s="1"/>
  <c r="AI4174" i="2"/>
  <c r="AJ4174" i="2"/>
  <c r="AF4175" i="2"/>
  <c r="AK4175" i="2"/>
  <c r="AG4175" i="2"/>
  <c r="AH4175" i="2"/>
  <c r="AI4175" i="2"/>
  <c r="AJ4175" i="2"/>
  <c r="AF4176" i="2"/>
  <c r="AK4176" i="2"/>
  <c r="AG4176" i="2"/>
  <c r="AH4176" i="2"/>
  <c r="AL4176" i="2" s="1"/>
  <c r="AI4176" i="2"/>
  <c r="AJ4176" i="2"/>
  <c r="AF4177" i="2"/>
  <c r="AK4177" i="2"/>
  <c r="AG4177" i="2"/>
  <c r="AH4177" i="2"/>
  <c r="AI4177" i="2"/>
  <c r="AJ4177" i="2"/>
  <c r="AF4178" i="2"/>
  <c r="AK4178" i="2"/>
  <c r="AG4178" i="2"/>
  <c r="AH4178" i="2"/>
  <c r="AL4178" i="2" s="1"/>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c r="AG4183" i="2"/>
  <c r="AH4183" i="2"/>
  <c r="AI4183" i="2"/>
  <c r="AJ4183" i="2"/>
  <c r="AF4184" i="2"/>
  <c r="AK4184" i="2" s="1"/>
  <c r="AG4184" i="2"/>
  <c r="AL4184" i="2" s="1"/>
  <c r="AH4184" i="2"/>
  <c r="AI4184" i="2"/>
  <c r="AJ4184" i="2"/>
  <c r="AF4185" i="2"/>
  <c r="AK4185" i="2"/>
  <c r="AG4185" i="2"/>
  <c r="AH4185" i="2"/>
  <c r="AI4185" i="2"/>
  <c r="AJ4185" i="2"/>
  <c r="AF4186" i="2"/>
  <c r="AK4186" i="2" s="1"/>
  <c r="AG4186" i="2"/>
  <c r="AL4186" i="2" s="1"/>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c r="AG4190" i="2"/>
  <c r="AH4190" i="2"/>
  <c r="AI4190" i="2"/>
  <c r="AJ4190" i="2"/>
  <c r="AL4190" i="2" s="1"/>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L4195" i="2" s="1"/>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L4228" i="2" s="1"/>
  <c r="AI4228" i="2"/>
  <c r="AJ4228" i="2"/>
  <c r="AF4229" i="2"/>
  <c r="AK4229" i="2"/>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s="1"/>
  <c r="AG4234" i="2"/>
  <c r="AH4234" i="2"/>
  <c r="AL4234" i="2" s="1"/>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s="1"/>
  <c r="AG4251" i="2"/>
  <c r="AH4251" i="2"/>
  <c r="AI4251" i="2"/>
  <c r="AJ4251" i="2"/>
  <c r="AF4252" i="2"/>
  <c r="AK4252" i="2"/>
  <c r="AG4252" i="2"/>
  <c r="AH4252" i="2"/>
  <c r="AI4252" i="2"/>
  <c r="AJ4252" i="2"/>
  <c r="AL4252" i="2" s="1"/>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L4258" i="2" s="1"/>
  <c r="AJ4258" i="2"/>
  <c r="AF4259" i="2"/>
  <c r="AK4259" i="2" s="1"/>
  <c r="AL4259" i="2" s="1"/>
  <c r="AG4259" i="2"/>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L4262" i="2" s="1"/>
  <c r="AF4263" i="2"/>
  <c r="AK4263" i="2"/>
  <c r="AG4263" i="2"/>
  <c r="AH4263" i="2"/>
  <c r="AI4263" i="2"/>
  <c r="AJ4263" i="2"/>
  <c r="AF4264" i="2"/>
  <c r="AK4264" i="2" s="1"/>
  <c r="AG4264" i="2"/>
  <c r="AH4264" i="2"/>
  <c r="AI4264" i="2"/>
  <c r="AJ4264" i="2"/>
  <c r="AF4265" i="2"/>
  <c r="AK4265" i="2"/>
  <c r="AL4265" i="2" s="1"/>
  <c r="AG4265" i="2"/>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I4269" i="2"/>
  <c r="AJ4269" i="2"/>
  <c r="AF4270" i="2"/>
  <c r="AG4270" i="2"/>
  <c r="AH4270" i="2"/>
  <c r="AL4270" i="2"/>
  <c r="AI4270" i="2"/>
  <c r="AJ4270" i="2"/>
  <c r="AK4270" i="2"/>
  <c r="AF4271" i="2"/>
  <c r="AK4271" i="2" s="1"/>
  <c r="AL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s="1"/>
  <c r="AG4289" i="2"/>
  <c r="AH4289" i="2"/>
  <c r="AI4289" i="2"/>
  <c r="AJ4289" i="2"/>
  <c r="AF4290" i="2"/>
  <c r="AK4290" i="2" s="1"/>
  <c r="AG4290" i="2"/>
  <c r="AH4290" i="2"/>
  <c r="AI4290" i="2"/>
  <c r="AJ4290" i="2"/>
  <c r="AF4291" i="2"/>
  <c r="AK4291" i="2"/>
  <c r="AL4291" i="2" s="1"/>
  <c r="AG4291" i="2"/>
  <c r="AH4291" i="2"/>
  <c r="AI4291" i="2"/>
  <c r="AJ4291" i="2"/>
  <c r="AF4292" i="2"/>
  <c r="AK4292" i="2" s="1"/>
  <c r="AG4292" i="2"/>
  <c r="AH4292" i="2"/>
  <c r="AI4292" i="2"/>
  <c r="AJ4292" i="2"/>
  <c r="AF4293" i="2"/>
  <c r="AK4293" i="2"/>
  <c r="AG4293" i="2"/>
  <c r="AH4293" i="2"/>
  <c r="AL4293" i="2" s="1"/>
  <c r="AI4293" i="2"/>
  <c r="AJ4293" i="2"/>
  <c r="AF4294" i="2"/>
  <c r="AK4294" i="2" s="1"/>
  <c r="AL4294" i="2" s="1"/>
  <c r="AG4294" i="2"/>
  <c r="AH4294" i="2"/>
  <c r="AI4294" i="2"/>
  <c r="AJ4294" i="2"/>
  <c r="AF4295" i="2"/>
  <c r="AK4295" i="2" s="1"/>
  <c r="AG4295" i="2"/>
  <c r="AH4295" i="2"/>
  <c r="AI4295" i="2"/>
  <c r="AJ4295" i="2"/>
  <c r="AF4296" i="2"/>
  <c r="AK4296" i="2" s="1"/>
  <c r="AG4296" i="2"/>
  <c r="AL4296" i="2" s="1"/>
  <c r="AH4296" i="2"/>
  <c r="AI4296" i="2"/>
  <c r="AJ4296" i="2"/>
  <c r="AF4297" i="2"/>
  <c r="AK4297" i="2"/>
  <c r="AG4297" i="2"/>
  <c r="AH4297" i="2"/>
  <c r="AI4297" i="2"/>
  <c r="AJ4297" i="2"/>
  <c r="AL4297" i="2" s="1"/>
  <c r="AF4298" i="2"/>
  <c r="AK4298" i="2"/>
  <c r="AG4298" i="2"/>
  <c r="AH4298" i="2"/>
  <c r="AI4298" i="2"/>
  <c r="AJ4298" i="2"/>
  <c r="AF4299" i="2"/>
  <c r="AK4299" i="2"/>
  <c r="AG4299" i="2"/>
  <c r="AH4299" i="2"/>
  <c r="AI4299" i="2"/>
  <c r="AJ4299" i="2"/>
  <c r="AL4299" i="2" s="1"/>
  <c r="AF4300" i="2"/>
  <c r="AK4300" i="2"/>
  <c r="AG4300" i="2"/>
  <c r="AH4300" i="2"/>
  <c r="AI4300" i="2"/>
  <c r="AJ4300" i="2"/>
  <c r="AF4301" i="2"/>
  <c r="AK4301" i="2"/>
  <c r="AG4301" i="2"/>
  <c r="AH4301" i="2"/>
  <c r="AI4301" i="2"/>
  <c r="AL4301" i="2" s="1"/>
  <c r="AJ4301" i="2"/>
  <c r="AF4302" i="2"/>
  <c r="AK4302" i="2"/>
  <c r="AG4302" i="2"/>
  <c r="AH4302" i="2"/>
  <c r="AI4302" i="2"/>
  <c r="AJ4302" i="2"/>
  <c r="AF4303" i="2"/>
  <c r="AK4303" i="2" s="1"/>
  <c r="AG4303" i="2"/>
  <c r="AH4303" i="2"/>
  <c r="AI4303" i="2"/>
  <c r="AJ4303" i="2"/>
  <c r="AF4304" i="2"/>
  <c r="AK4304" i="2"/>
  <c r="AG4304" i="2"/>
  <c r="AH4304" i="2"/>
  <c r="AL4304" i="2" s="1"/>
  <c r="AI4304" i="2"/>
  <c r="AJ4304" i="2"/>
  <c r="AF4305" i="2"/>
  <c r="AK4305" i="2"/>
  <c r="AG4305" i="2"/>
  <c r="AH4305" i="2"/>
  <c r="AI4305" i="2"/>
  <c r="AJ4305" i="2"/>
  <c r="AF4306" i="2"/>
  <c r="AK4306" i="2" s="1"/>
  <c r="AL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c r="AG4323" i="2"/>
  <c r="AH4323" i="2"/>
  <c r="AI4323" i="2"/>
  <c r="AJ4323" i="2"/>
  <c r="AF4324" i="2"/>
  <c r="AK4324" i="2"/>
  <c r="AG4324" i="2"/>
  <c r="AH4324" i="2"/>
  <c r="AI4324" i="2"/>
  <c r="AJ4324" i="2"/>
  <c r="AF4325" i="2"/>
  <c r="AK4325" i="2" s="1"/>
  <c r="AG4325" i="2"/>
  <c r="AL4325" i="2" s="1"/>
  <c r="AH4325" i="2"/>
  <c r="AI4325" i="2"/>
  <c r="AJ4325" i="2"/>
  <c r="AF4326" i="2"/>
  <c r="AK4326" i="2"/>
  <c r="AG4326" i="2"/>
  <c r="AH4326" i="2"/>
  <c r="AI4326" i="2"/>
  <c r="AJ4326" i="2"/>
  <c r="AF4327" i="2"/>
  <c r="AK4327" i="2" s="1"/>
  <c r="AG4327" i="2"/>
  <c r="AH4327" i="2"/>
  <c r="AL4327" i="2" s="1"/>
  <c r="AI4327" i="2"/>
  <c r="AJ4327" i="2"/>
  <c r="AF4328" i="2"/>
  <c r="AK4328" i="2"/>
  <c r="AG4328" i="2"/>
  <c r="AH4328" i="2"/>
  <c r="AI4328" i="2"/>
  <c r="AJ4328" i="2"/>
  <c r="AF4329" i="2"/>
  <c r="AK4329" i="2" s="1"/>
  <c r="AG4329" i="2"/>
  <c r="AH4329" i="2"/>
  <c r="AL4329" i="2" s="1"/>
  <c r="AI4329" i="2"/>
  <c r="AJ4329" i="2"/>
  <c r="AF4330" i="2"/>
  <c r="AK4330" i="2"/>
  <c r="AG4330" i="2"/>
  <c r="AH4330" i="2"/>
  <c r="AI4330" i="2"/>
  <c r="AJ4330" i="2"/>
  <c r="AF4331" i="2"/>
  <c r="AK4331" i="2" s="1"/>
  <c r="AG4331" i="2"/>
  <c r="AH4331" i="2"/>
  <c r="AI4331" i="2"/>
  <c r="AL4331" i="2" s="1"/>
  <c r="AJ4331" i="2"/>
  <c r="AF4332" i="2"/>
  <c r="AK4332" i="2"/>
  <c r="AG4332" i="2"/>
  <c r="AH4332" i="2"/>
  <c r="AI4332" i="2"/>
  <c r="AJ4332" i="2"/>
  <c r="AF4333" i="2"/>
  <c r="AK4333" i="2" s="1"/>
  <c r="AG4333" i="2"/>
  <c r="AH4333" i="2"/>
  <c r="AI4333" i="2"/>
  <c r="AJ4333" i="2"/>
  <c r="AL4333" i="2" s="1"/>
  <c r="AF4334" i="2"/>
  <c r="AK4334" i="2"/>
  <c r="AG4334" i="2"/>
  <c r="AH4334" i="2"/>
  <c r="AI4334" i="2"/>
  <c r="AJ4334" i="2"/>
  <c r="AF4335" i="2"/>
  <c r="AK4335" i="2" s="1"/>
  <c r="AG4335" i="2"/>
  <c r="AH4335" i="2"/>
  <c r="AI4335" i="2"/>
  <c r="AJ4335" i="2"/>
  <c r="AF4336" i="2"/>
  <c r="AK4336" i="2"/>
  <c r="AL4336" i="2" s="1"/>
  <c r="AG4336" i="2"/>
  <c r="AH4336" i="2"/>
  <c r="AI4336" i="2"/>
  <c r="AJ4336" i="2"/>
  <c r="AF4337" i="2"/>
  <c r="AK4337" i="2" s="1"/>
  <c r="AG4337" i="2"/>
  <c r="AH4337" i="2"/>
  <c r="AI4337" i="2"/>
  <c r="AJ4337" i="2"/>
  <c r="AF4338" i="2"/>
  <c r="AK4338" i="2"/>
  <c r="AG4338" i="2"/>
  <c r="AL4338" i="2" s="1"/>
  <c r="AH4338" i="2"/>
  <c r="AI4338" i="2"/>
  <c r="AJ4338" i="2"/>
  <c r="AF4339" i="2"/>
  <c r="AK4339" i="2" s="1"/>
  <c r="AG4339" i="2"/>
  <c r="AH4339" i="2"/>
  <c r="AI4339" i="2"/>
  <c r="AJ4339" i="2"/>
  <c r="AF4340" i="2"/>
  <c r="AK4340" i="2"/>
  <c r="AG4340" i="2"/>
  <c r="AL4340" i="2" s="1"/>
  <c r="AH4340" i="2"/>
  <c r="AI4340" i="2"/>
  <c r="AJ4340" i="2"/>
  <c r="AF4341" i="2"/>
  <c r="AK4341" i="2" s="1"/>
  <c r="AG4341" i="2"/>
  <c r="AH4341" i="2"/>
  <c r="AI4341" i="2"/>
  <c r="AJ4341" i="2"/>
  <c r="AF4342" i="2"/>
  <c r="AK4342" i="2"/>
  <c r="AG4342" i="2"/>
  <c r="AH4342" i="2"/>
  <c r="AL4342" i="2" s="1"/>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F4348" i="2"/>
  <c r="AK4348" i="2"/>
  <c r="AG4348" i="2"/>
  <c r="AH4348" i="2"/>
  <c r="AI4348" i="2"/>
  <c r="AJ4348" i="2"/>
  <c r="AF4349" i="2"/>
  <c r="AK4349" i="2"/>
  <c r="AL4349" i="2" s="1"/>
  <c r="AG4349" i="2"/>
  <c r="AH4349" i="2"/>
  <c r="AI4349" i="2"/>
  <c r="AJ4349" i="2"/>
  <c r="AF4350" i="2"/>
  <c r="AK4350" i="2"/>
  <c r="AG4350" i="2"/>
  <c r="AH4350" i="2"/>
  <c r="AI4350" i="2"/>
  <c r="AJ4350" i="2"/>
  <c r="AF4351" i="2"/>
  <c r="AK4351" i="2"/>
  <c r="AL4351" i="2" s="1"/>
  <c r="AG4351" i="2"/>
  <c r="AH4351" i="2"/>
  <c r="AI4351" i="2"/>
  <c r="AJ4351" i="2"/>
  <c r="AF4352" i="2"/>
  <c r="AK4352" i="2"/>
  <c r="AG4352" i="2"/>
  <c r="AH4352" i="2"/>
  <c r="AI4352" i="2"/>
  <c r="AJ4352" i="2"/>
  <c r="AF4353" i="2"/>
  <c r="AK4353" i="2"/>
  <c r="AL4353" i="2" s="1"/>
  <c r="AG4353" i="2"/>
  <c r="AH4353" i="2"/>
  <c r="AI4353" i="2"/>
  <c r="AJ4353" i="2"/>
  <c r="AF4354" i="2"/>
  <c r="AK4354" i="2"/>
  <c r="AG4354" i="2"/>
  <c r="AH4354" i="2"/>
  <c r="AI4354" i="2"/>
  <c r="AL4354" i="2" s="1"/>
  <c r="AJ4354" i="2"/>
  <c r="AF4355" i="2"/>
  <c r="AK4355" i="2" s="1"/>
  <c r="AL4355" i="2" s="1"/>
  <c r="AG4355" i="2"/>
  <c r="AH4355" i="2"/>
  <c r="AI4355" i="2"/>
  <c r="AJ4355" i="2"/>
  <c r="AF4356" i="2"/>
  <c r="AK4356" i="2" s="1"/>
  <c r="AG4356" i="2"/>
  <c r="AH4356" i="2"/>
  <c r="AI4356" i="2"/>
  <c r="AJ4356" i="2"/>
  <c r="AF4357" i="2"/>
  <c r="AK4357" i="2" s="1"/>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H4361" i="2"/>
  <c r="AI4361" i="2"/>
  <c r="AJ4361" i="2"/>
  <c r="AF4362" i="2"/>
  <c r="AK4362" i="2"/>
  <c r="AG4362" i="2"/>
  <c r="AH4362" i="2"/>
  <c r="AI4362" i="2"/>
  <c r="AJ4362" i="2"/>
  <c r="AF4363" i="2"/>
  <c r="AK4363" i="2" s="1"/>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c r="AG4371" i="2"/>
  <c r="AL4371" i="2" s="1"/>
  <c r="AH4371" i="2"/>
  <c r="AI4371" i="2"/>
  <c r="AJ4371" i="2"/>
  <c r="AF4372" i="2"/>
  <c r="AK4372" i="2"/>
  <c r="AG4372" i="2"/>
  <c r="AH4372" i="2"/>
  <c r="AI4372" i="2"/>
  <c r="AJ4372" i="2"/>
  <c r="AF4373" i="2"/>
  <c r="AK4373" i="2"/>
  <c r="AG4373" i="2"/>
  <c r="AL4373" i="2" s="1"/>
  <c r="AH4373" i="2"/>
  <c r="AI4373" i="2"/>
  <c r="AJ4373" i="2"/>
  <c r="AF4374" i="2"/>
  <c r="AK4374" i="2" s="1"/>
  <c r="AG4374" i="2"/>
  <c r="AH4374" i="2"/>
  <c r="AI4374" i="2"/>
  <c r="AJ4374" i="2"/>
  <c r="AL4374" i="2" s="1"/>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L4380" i="2" s="1"/>
  <c r="AJ4380" i="2"/>
  <c r="AF4381" i="2"/>
  <c r="AK4381" i="2"/>
  <c r="AL4381" i="2" s="1"/>
  <c r="AG4381" i="2"/>
  <c r="AH4381" i="2"/>
  <c r="AI4381" i="2"/>
  <c r="AJ4381" i="2"/>
  <c r="AF4382" i="2"/>
  <c r="AK4382" i="2" s="1"/>
  <c r="AG4382" i="2"/>
  <c r="AH4382" i="2"/>
  <c r="AI4382" i="2"/>
  <c r="AJ4382" i="2"/>
  <c r="AF4383" i="2"/>
  <c r="AK4383" i="2"/>
  <c r="AG4383" i="2"/>
  <c r="AL4383" i="2"/>
  <c r="AH4383" i="2"/>
  <c r="AI4383" i="2"/>
  <c r="AJ4383" i="2"/>
  <c r="AF4384" i="2"/>
  <c r="AK4384" i="2"/>
  <c r="AG4384" i="2"/>
  <c r="AH4384" i="2"/>
  <c r="AI4384" i="2"/>
  <c r="AJ4384" i="2"/>
  <c r="AF4385" i="2"/>
  <c r="AK4385" i="2" s="1"/>
  <c r="AG4385" i="2"/>
  <c r="AL4385" i="2" s="1"/>
  <c r="AH4385" i="2"/>
  <c r="AI4385" i="2"/>
  <c r="AJ4385" i="2"/>
  <c r="AF4386" i="2"/>
  <c r="AK4386" i="2"/>
  <c r="AG4386" i="2"/>
  <c r="AH4386" i="2"/>
  <c r="AI4386" i="2"/>
  <c r="AJ4386" i="2"/>
  <c r="AF4387" i="2"/>
  <c r="AK4387" i="2" s="1"/>
  <c r="AG4387" i="2"/>
  <c r="AH4387" i="2"/>
  <c r="AL4387" i="2" s="1"/>
  <c r="AI4387" i="2"/>
  <c r="AJ4387" i="2"/>
  <c r="AF4388" i="2"/>
  <c r="AK4388" i="2"/>
  <c r="AG4388" i="2"/>
  <c r="AH4388" i="2"/>
  <c r="AI4388" i="2"/>
  <c r="AJ4388" i="2"/>
  <c r="AF4389" i="2"/>
  <c r="AK4389" i="2" s="1"/>
  <c r="AG4389" i="2"/>
  <c r="AH4389" i="2"/>
  <c r="AL4389" i="2" s="1"/>
  <c r="AI4389" i="2"/>
  <c r="AJ4389" i="2"/>
  <c r="AF4390" i="2"/>
  <c r="AK4390" i="2"/>
  <c r="AG4390" i="2"/>
  <c r="AH4390" i="2"/>
  <c r="AI4390" i="2"/>
  <c r="AJ4390" i="2"/>
  <c r="AF4391" i="2"/>
  <c r="AK4391" i="2" s="1"/>
  <c r="AG4391" i="2"/>
  <c r="AL4391" i="2" s="1"/>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s="1"/>
  <c r="AG4397" i="2"/>
  <c r="AH4397" i="2"/>
  <c r="AL4397" i="2" s="1"/>
  <c r="AI4397" i="2"/>
  <c r="AJ4397" i="2"/>
  <c r="AF4398" i="2"/>
  <c r="AK4398" i="2"/>
  <c r="AG4398" i="2"/>
  <c r="AL4398" i="2" s="1"/>
  <c r="AH4398" i="2"/>
  <c r="AI4398" i="2"/>
  <c r="AJ4398" i="2"/>
  <c r="AF4399" i="2"/>
  <c r="AK4399" i="2"/>
  <c r="AG4399" i="2"/>
  <c r="AH4399" i="2"/>
  <c r="AI4399" i="2"/>
  <c r="AJ4399" i="2"/>
  <c r="AF4400" i="2"/>
  <c r="AK4400" i="2"/>
  <c r="AG4400" i="2"/>
  <c r="AL4400" i="2" s="1"/>
  <c r="AH4400" i="2"/>
  <c r="AI4400" i="2"/>
  <c r="AJ4400" i="2"/>
  <c r="AF4401" i="2"/>
  <c r="AK4401" i="2"/>
  <c r="AG4401" i="2"/>
  <c r="AH4401" i="2"/>
  <c r="AI4401" i="2"/>
  <c r="AJ4401" i="2"/>
  <c r="AF4402" i="2"/>
  <c r="AK4402" i="2"/>
  <c r="AG4402" i="2"/>
  <c r="AL4402" i="2" s="1"/>
  <c r="AH4402" i="2"/>
  <c r="AI4402" i="2"/>
  <c r="AJ4402" i="2"/>
  <c r="AF4403" i="2"/>
  <c r="AK4403" i="2" s="1"/>
  <c r="AG4403" i="2"/>
  <c r="AH4403" i="2"/>
  <c r="AI4403" i="2"/>
  <c r="AJ4403" i="2"/>
  <c r="AF4404" i="2"/>
  <c r="AK4404" i="2" s="1"/>
  <c r="AG4404" i="2"/>
  <c r="AH4404" i="2"/>
  <c r="AL4404" i="2" s="1"/>
  <c r="AI4404" i="2"/>
  <c r="AJ4404" i="2"/>
  <c r="AF4405" i="2"/>
  <c r="AK4405" i="2"/>
  <c r="AG4405" i="2"/>
  <c r="AH4405" i="2"/>
  <c r="AI4405" i="2"/>
  <c r="AJ4405" i="2"/>
  <c r="AF4406" i="2"/>
  <c r="AG4406" i="2"/>
  <c r="AH4406" i="2"/>
  <c r="AI4406" i="2"/>
  <c r="AJ4406" i="2"/>
  <c r="AK4406" i="2"/>
  <c r="AF4407" i="2"/>
  <c r="AK4407" i="2"/>
  <c r="AG4407" i="2"/>
  <c r="AH4407" i="2"/>
  <c r="AL4407" i="2"/>
  <c r="AI4407" i="2"/>
  <c r="AJ4407" i="2"/>
  <c r="AF4408" i="2"/>
  <c r="AK4408" i="2"/>
  <c r="AG4408" i="2"/>
  <c r="AH4408" i="2"/>
  <c r="AL4408" i="2" s="1"/>
  <c r="AI4408" i="2"/>
  <c r="AJ4408" i="2"/>
  <c r="AF4409" i="2"/>
  <c r="AK4409" i="2"/>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s="1"/>
  <c r="AG4419" i="2"/>
  <c r="AL4419" i="2" s="1"/>
  <c r="AH4419" i="2"/>
  <c r="AI4419" i="2"/>
  <c r="AJ4419" i="2"/>
  <c r="AF4420" i="2"/>
  <c r="AK4420" i="2"/>
  <c r="AG4420" i="2"/>
  <c r="AL4420" i="2"/>
  <c r="AH4420" i="2"/>
  <c r="AI4420" i="2"/>
  <c r="AJ4420" i="2"/>
  <c r="AF4421" i="2"/>
  <c r="AK4421" i="2"/>
  <c r="AG4421" i="2"/>
  <c r="AH4421" i="2"/>
  <c r="AI4421" i="2"/>
  <c r="AJ4421" i="2"/>
  <c r="AF4422" i="2"/>
  <c r="AK4422" i="2"/>
  <c r="AG4422" i="2"/>
  <c r="AH4422" i="2"/>
  <c r="AI4422" i="2"/>
  <c r="AJ4422" i="2"/>
  <c r="AF4423" i="2"/>
  <c r="AK4423" i="2"/>
  <c r="AG4423" i="2"/>
  <c r="AH4423" i="2"/>
  <c r="AI4423" i="2"/>
  <c r="AJ4423" i="2"/>
  <c r="AF4424" i="2"/>
  <c r="AK4424" i="2"/>
  <c r="AG4424" i="2"/>
  <c r="AH4424" i="2"/>
  <c r="AI4424" i="2"/>
  <c r="AJ4424" i="2"/>
  <c r="AF4425" i="2"/>
  <c r="AK4425" i="2" s="1"/>
  <c r="AG4425" i="2"/>
  <c r="AL4425" i="2" s="1"/>
  <c r="AH4425" i="2"/>
  <c r="AI4425" i="2"/>
  <c r="AJ4425" i="2"/>
  <c r="AF4426" i="2"/>
  <c r="AK4426" i="2"/>
  <c r="AG4426" i="2"/>
  <c r="AH4426" i="2"/>
  <c r="AL4426" i="2" s="1"/>
  <c r="AI4426" i="2"/>
  <c r="AJ4426" i="2"/>
  <c r="AF4427" i="2"/>
  <c r="AK4427" i="2"/>
  <c r="AG4427" i="2"/>
  <c r="AL4427" i="2" s="1"/>
  <c r="AH4427" i="2"/>
  <c r="AI4427" i="2"/>
  <c r="AJ4427" i="2"/>
  <c r="AF4428" i="2"/>
  <c r="AK4428" i="2" s="1"/>
  <c r="AG4428" i="2"/>
  <c r="AH4428" i="2"/>
  <c r="AI4428" i="2"/>
  <c r="AJ4428" i="2"/>
  <c r="AF4429" i="2"/>
  <c r="AK4429" i="2"/>
  <c r="AG4429" i="2"/>
  <c r="AL4429" i="2" s="1"/>
  <c r="AH4429" i="2"/>
  <c r="AI4429" i="2"/>
  <c r="AJ4429" i="2"/>
  <c r="AF4430" i="2"/>
  <c r="AK4430" i="2" s="1"/>
  <c r="AG4430" i="2"/>
  <c r="AL4430" i="2" s="1"/>
  <c r="AH4430" i="2"/>
  <c r="AI4430" i="2"/>
  <c r="AJ4430" i="2"/>
  <c r="AF4431" i="2"/>
  <c r="AK4431" i="2" s="1"/>
  <c r="AG4431" i="2"/>
  <c r="AH4431" i="2"/>
  <c r="AI4431" i="2"/>
  <c r="AL4431" i="2" s="1"/>
  <c r="AJ4431" i="2"/>
  <c r="AF4432" i="2"/>
  <c r="AK4432" i="2"/>
  <c r="AG4432" i="2"/>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s="1"/>
  <c r="AG4438" i="2"/>
  <c r="AH4438" i="2"/>
  <c r="AI4438" i="2"/>
  <c r="AJ4438" i="2"/>
  <c r="AF4439" i="2"/>
  <c r="AK4439" i="2" s="1"/>
  <c r="AL4439" i="2" s="1"/>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s="1"/>
  <c r="AG4443" i="2"/>
  <c r="AH4443" i="2"/>
  <c r="AI4443" i="2"/>
  <c r="AJ4443" i="2"/>
  <c r="AF4444" i="2"/>
  <c r="AK4444" i="2" s="1"/>
  <c r="AG4444" i="2"/>
  <c r="AL4444" i="2" s="1"/>
  <c r="AH4444" i="2"/>
  <c r="AI4444" i="2"/>
  <c r="AJ4444" i="2"/>
  <c r="AF4445" i="2"/>
  <c r="AK4445" i="2" s="1"/>
  <c r="AL4445" i="2" s="1"/>
  <c r="AG4445" i="2"/>
  <c r="AH4445" i="2"/>
  <c r="AI4445" i="2"/>
  <c r="AJ4445" i="2"/>
  <c r="AF4446" i="2"/>
  <c r="AK4446" i="2"/>
  <c r="AG4446" i="2"/>
  <c r="AH4446" i="2"/>
  <c r="AI4446" i="2"/>
  <c r="AJ4446" i="2"/>
  <c r="AF4447" i="2"/>
  <c r="AK4447" i="2" s="1"/>
  <c r="AG4447" i="2"/>
  <c r="AL4447" i="2" s="1"/>
  <c r="AH4447" i="2"/>
  <c r="AI4447" i="2"/>
  <c r="AJ4447" i="2"/>
  <c r="AF4448" i="2"/>
  <c r="AK4448" i="2"/>
  <c r="AG4448" i="2"/>
  <c r="AL4448" i="2" s="1"/>
  <c r="AH4448" i="2"/>
  <c r="AI4448" i="2"/>
  <c r="AJ4448" i="2"/>
  <c r="AF4449" i="2"/>
  <c r="AK4449" i="2"/>
  <c r="AL4449" i="2" s="1"/>
  <c r="AG4449" i="2"/>
  <c r="AH4449" i="2"/>
  <c r="AI4449" i="2"/>
  <c r="AJ4449" i="2"/>
  <c r="AF4450" i="2"/>
  <c r="AK4450" i="2"/>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I4454" i="2"/>
  <c r="AJ4454" i="2"/>
  <c r="AF4455" i="2"/>
  <c r="AK4455" i="2" s="1"/>
  <c r="AG4455" i="2"/>
  <c r="AH4455" i="2"/>
  <c r="AI4455" i="2"/>
  <c r="AL4455" i="2" s="1"/>
  <c r="AJ4455" i="2"/>
  <c r="AF4456" i="2"/>
  <c r="AK4456" i="2" s="1"/>
  <c r="AG4456" i="2"/>
  <c r="AH4456" i="2"/>
  <c r="AI4456" i="2"/>
  <c r="AJ4456" i="2"/>
  <c r="AF4457" i="2"/>
  <c r="AK4457" i="2"/>
  <c r="AG4457" i="2"/>
  <c r="AH4457" i="2"/>
  <c r="AI4457" i="2"/>
  <c r="AJ4457" i="2"/>
  <c r="AL4457" i="2" s="1"/>
  <c r="AF4458" i="2"/>
  <c r="AK4458" i="2"/>
  <c r="AG4458" i="2"/>
  <c r="AL4458" i="2" s="1"/>
  <c r="AH4458" i="2"/>
  <c r="AI4458" i="2"/>
  <c r="AJ4458" i="2"/>
  <c r="AF4459" i="2"/>
  <c r="AK4459" i="2" s="1"/>
  <c r="AG4459" i="2"/>
  <c r="AH4459" i="2"/>
  <c r="AI4459" i="2"/>
  <c r="AL4459" i="2" s="1"/>
  <c r="AJ4459" i="2"/>
  <c r="AF4460" i="2"/>
  <c r="AK4460" i="2" s="1"/>
  <c r="AG4460" i="2"/>
  <c r="AH4460" i="2"/>
  <c r="AI4460" i="2"/>
  <c r="AJ4460" i="2"/>
  <c r="AF4461" i="2"/>
  <c r="AK4461" i="2"/>
  <c r="AG4461" i="2"/>
  <c r="AH4461" i="2"/>
  <c r="AI4461" i="2"/>
  <c r="AJ4461" i="2"/>
  <c r="AL4461" i="2" s="1"/>
  <c r="AF4462" i="2"/>
  <c r="AK4462" i="2" s="1"/>
  <c r="AG4462" i="2"/>
  <c r="AH4462" i="2"/>
  <c r="AI4462" i="2"/>
  <c r="AJ4462" i="2"/>
  <c r="AF4463" i="2"/>
  <c r="AK4463" i="2" s="1"/>
  <c r="AL4463" i="2"/>
  <c r="AG4463" i="2"/>
  <c r="AH4463" i="2"/>
  <c r="AI4463" i="2"/>
  <c r="AJ4463" i="2"/>
  <c r="AF4464" i="2"/>
  <c r="AK4464" i="2"/>
  <c r="AG4464" i="2"/>
  <c r="AL4464" i="2" s="1"/>
  <c r="AH4464" i="2"/>
  <c r="AI4464" i="2"/>
  <c r="AJ4464" i="2"/>
  <c r="AF4465" i="2"/>
  <c r="AK4465" i="2" s="1"/>
  <c r="AG4465" i="2"/>
  <c r="AH4465" i="2"/>
  <c r="AL4465" i="2" s="1"/>
  <c r="AI4465" i="2"/>
  <c r="AJ4465" i="2"/>
  <c r="AF4466" i="2"/>
  <c r="AK4466" i="2"/>
  <c r="AL4466" i="2" s="1"/>
  <c r="AG4466" i="2"/>
  <c r="AH4466" i="2"/>
  <c r="AI4466" i="2"/>
  <c r="AJ4466" i="2"/>
  <c r="AF4467" i="2"/>
  <c r="AK4467" i="2"/>
  <c r="AG4467" i="2"/>
  <c r="AL4467" i="2" s="1"/>
  <c r="AH4467" i="2"/>
  <c r="AI4467" i="2"/>
  <c r="AJ4467" i="2"/>
  <c r="AF4468" i="2"/>
  <c r="AK4468" i="2" s="1"/>
  <c r="AG4468" i="2"/>
  <c r="AL4468" i="2" s="1"/>
  <c r="AH4468" i="2"/>
  <c r="AI4468" i="2"/>
  <c r="AJ4468" i="2"/>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L4472" i="2" s="1"/>
  <c r="AH4472" i="2"/>
  <c r="AI4472" i="2"/>
  <c r="AJ4472" i="2"/>
  <c r="AF4473" i="2"/>
  <c r="AK4473" i="2" s="1"/>
  <c r="AG4473" i="2"/>
  <c r="AH4473" i="2"/>
  <c r="AI4473" i="2"/>
  <c r="AJ4473" i="2"/>
  <c r="AL4473" i="2" s="1"/>
  <c r="AF4474" i="2"/>
  <c r="AK4474" i="2" s="1"/>
  <c r="AG4474" i="2"/>
  <c r="AH4474" i="2"/>
  <c r="AI4474" i="2"/>
  <c r="AJ4474" i="2"/>
  <c r="AF4475" i="2"/>
  <c r="AK4475" i="2"/>
  <c r="AG4475" i="2"/>
  <c r="AL4475" i="2" s="1"/>
  <c r="AH4475" i="2"/>
  <c r="AI4475" i="2"/>
  <c r="AJ4475" i="2"/>
  <c r="AF4476" i="2"/>
  <c r="AK4476" i="2"/>
  <c r="AG4476" i="2"/>
  <c r="AH4476" i="2"/>
  <c r="AI4476" i="2"/>
  <c r="AJ4476" i="2"/>
  <c r="AF4477" i="2"/>
  <c r="AK4477" i="2"/>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L4482" i="2" s="1"/>
  <c r="AF4483" i="2"/>
  <c r="AK4483" i="2"/>
  <c r="AG4483" i="2"/>
  <c r="AL4483" i="2" s="1"/>
  <c r="AH4483" i="2"/>
  <c r="AI4483" i="2"/>
  <c r="AJ4483" i="2"/>
  <c r="AF4484" i="2"/>
  <c r="AK4484" i="2"/>
  <c r="AG4484" i="2"/>
  <c r="AH4484" i="2"/>
  <c r="AL4484" i="2" s="1"/>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L4488" i="2" s="1"/>
  <c r="AH4488" i="2"/>
  <c r="AI4488" i="2"/>
  <c r="AJ4488" i="2"/>
  <c r="AF4489" i="2"/>
  <c r="AK4489" i="2" s="1"/>
  <c r="AL4489" i="2" s="1"/>
  <c r="AG4489" i="2"/>
  <c r="AH4489" i="2"/>
  <c r="AI4489" i="2"/>
  <c r="AJ4489" i="2"/>
  <c r="AF4490" i="2"/>
  <c r="AK4490" i="2"/>
  <c r="AG4490" i="2"/>
  <c r="AH4490" i="2"/>
  <c r="AI4490" i="2"/>
  <c r="AJ4490" i="2"/>
  <c r="AL4490" i="2" s="1"/>
  <c r="AF4491" i="2"/>
  <c r="AK4491" i="2" s="1"/>
  <c r="AG4491" i="2"/>
  <c r="AH4491" i="2"/>
  <c r="AL4491" i="2" s="1"/>
  <c r="AI4491" i="2"/>
  <c r="AJ4491" i="2"/>
  <c r="AF4492" i="2"/>
  <c r="AK4492" i="2"/>
  <c r="AG4492" i="2"/>
  <c r="AL4492" i="2" s="1"/>
  <c r="AH4492" i="2"/>
  <c r="AI4492" i="2"/>
  <c r="AJ4492" i="2"/>
  <c r="AF4493" i="2"/>
  <c r="AK4493" i="2"/>
  <c r="AG4493" i="2"/>
  <c r="AH4493" i="2"/>
  <c r="AI4493" i="2"/>
  <c r="AJ4493" i="2"/>
  <c r="AF4494" i="2"/>
  <c r="AK4494" i="2" s="1"/>
  <c r="AL4494" i="2" s="1"/>
  <c r="AG4494" i="2"/>
  <c r="AH4494" i="2"/>
  <c r="AI4494" i="2"/>
  <c r="AJ4494" i="2"/>
  <c r="AF4495" i="2"/>
  <c r="AK4495" i="2"/>
  <c r="AG4495" i="2"/>
  <c r="AH4495" i="2"/>
  <c r="AI4495" i="2"/>
  <c r="AL4495" i="2" s="1"/>
  <c r="AJ4495" i="2"/>
  <c r="AF4496" i="2"/>
  <c r="AK4496" i="2" s="1"/>
  <c r="AG4496" i="2"/>
  <c r="AH4496" i="2"/>
  <c r="AI4496" i="2"/>
  <c r="AJ4496" i="2"/>
  <c r="AF4497" i="2"/>
  <c r="AK4497" i="2"/>
  <c r="AG4497" i="2"/>
  <c r="AH4497" i="2"/>
  <c r="AI4497" i="2"/>
  <c r="AL4497" i="2" s="1"/>
  <c r="AJ4497" i="2"/>
  <c r="AF4498" i="2"/>
  <c r="AK4498" i="2"/>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H4505" i="2"/>
  <c r="AI4505" i="2"/>
  <c r="AL4505" i="2" s="1"/>
  <c r="AJ4505" i="2"/>
  <c r="AF4506" i="2"/>
  <c r="AK4506" i="2"/>
  <c r="AG4506" i="2"/>
  <c r="AH4506" i="2"/>
  <c r="AI4506" i="2"/>
  <c r="AJ4506" i="2"/>
  <c r="AF4507" i="2"/>
  <c r="AK4507" i="2"/>
  <c r="AG4507" i="2"/>
  <c r="AH4507" i="2"/>
  <c r="AI4507" i="2"/>
  <c r="AJ4507" i="2"/>
  <c r="AF4508" i="2"/>
  <c r="AK4508" i="2"/>
  <c r="AG4508" i="2"/>
  <c r="AH4508" i="2"/>
  <c r="AI4508" i="2"/>
  <c r="AJ4508" i="2"/>
  <c r="AF4509" i="2"/>
  <c r="AK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H4523" i="2"/>
  <c r="AI4523" i="2"/>
  <c r="AJ4523" i="2"/>
  <c r="AF4524" i="2"/>
  <c r="AK4524" i="2"/>
  <c r="AG4524" i="2"/>
  <c r="AH4524" i="2"/>
  <c r="AI4524" i="2"/>
  <c r="AJ4524" i="2"/>
  <c r="AL4524" i="2" s="1"/>
  <c r="AF4525" i="2"/>
  <c r="AK4525" i="2"/>
  <c r="AG4525" i="2"/>
  <c r="AH4525" i="2"/>
  <c r="AI4525" i="2"/>
  <c r="AJ4525" i="2"/>
  <c r="AF4526" i="2"/>
  <c r="AK4526" i="2"/>
  <c r="AG4526" i="2"/>
  <c r="AH4526" i="2"/>
  <c r="AI4526" i="2"/>
  <c r="AL4526" i="2" s="1"/>
  <c r="AJ4526" i="2"/>
  <c r="AF4527" i="2"/>
  <c r="AK4527" i="2"/>
  <c r="AG4527" i="2"/>
  <c r="AH4527" i="2"/>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L4530" i="2"/>
  <c r="AF4531" i="2"/>
  <c r="AK4531" i="2" s="1"/>
  <c r="AG4531" i="2"/>
  <c r="AH4531" i="2"/>
  <c r="AI4531" i="2"/>
  <c r="AJ4531" i="2"/>
  <c r="AF4532" i="2"/>
  <c r="AK4532" i="2"/>
  <c r="AG4532" i="2"/>
  <c r="AH4532" i="2"/>
  <c r="AI4532" i="2"/>
  <c r="AJ4532" i="2"/>
  <c r="AF4533" i="2"/>
  <c r="AK4533" i="2" s="1"/>
  <c r="AL4533" i="2" s="1"/>
  <c r="AG4533" i="2"/>
  <c r="AH4533" i="2"/>
  <c r="AI4533" i="2"/>
  <c r="AJ4533" i="2"/>
  <c r="AF4534" i="2"/>
  <c r="AK4534" i="2"/>
  <c r="AG4534" i="2"/>
  <c r="AH4534" i="2"/>
  <c r="AI4534" i="2"/>
  <c r="AJ4534" i="2"/>
  <c r="AL4534" i="2" s="1"/>
  <c r="AF4535" i="2"/>
  <c r="AK4535" i="2"/>
  <c r="AG4535" i="2"/>
  <c r="AL4535" i="2" s="1"/>
  <c r="AH4535" i="2"/>
  <c r="AI4535" i="2"/>
  <c r="AJ4535" i="2"/>
  <c r="AF4536" i="2"/>
  <c r="AK4536" i="2"/>
  <c r="AG4536" i="2"/>
  <c r="AH4536" i="2"/>
  <c r="AI4536" i="2"/>
  <c r="AJ4536" i="2"/>
  <c r="AF4537" i="2"/>
  <c r="AK4537" i="2" s="1"/>
  <c r="AL4537" i="2" s="1"/>
  <c r="AG4537" i="2"/>
  <c r="AH4537" i="2"/>
  <c r="AI4537" i="2"/>
  <c r="AJ4537" i="2"/>
  <c r="AF4538" i="2"/>
  <c r="AK4538" i="2"/>
  <c r="AG4538" i="2"/>
  <c r="AH4538" i="2"/>
  <c r="AI4538" i="2"/>
  <c r="AJ4538" i="2"/>
  <c r="AF4539" i="2"/>
  <c r="AK4539" i="2"/>
  <c r="AG4539" i="2"/>
  <c r="AH4539" i="2"/>
  <c r="AI4539" i="2"/>
  <c r="AJ4539" i="2"/>
  <c r="AF4540" i="2"/>
  <c r="AK4540" i="2" s="1"/>
  <c r="AG4540" i="2"/>
  <c r="AH4540" i="2"/>
  <c r="AL4540" i="2" s="1"/>
  <c r="AI4540" i="2"/>
  <c r="AJ4540" i="2"/>
  <c r="AF4541" i="2"/>
  <c r="AK4541" i="2" s="1"/>
  <c r="AG4541" i="2"/>
  <c r="AH4541" i="2"/>
  <c r="AI4541" i="2"/>
  <c r="AJ4541" i="2"/>
  <c r="AF4542" i="2"/>
  <c r="AK4542" i="2" s="1"/>
  <c r="AG4542" i="2"/>
  <c r="AL4542" i="2" s="1"/>
  <c r="AH4542" i="2"/>
  <c r="AI4542" i="2"/>
  <c r="AJ4542" i="2"/>
  <c r="AF4543" i="2"/>
  <c r="AK4543" i="2" s="1"/>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c r="AG4547" i="2"/>
  <c r="AH4547" i="2"/>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c r="AG4555" i="2"/>
  <c r="AH4555" i="2"/>
  <c r="AL4555" i="2" s="1"/>
  <c r="AI4555" i="2"/>
  <c r="AJ4555" i="2"/>
  <c r="AF4556" i="2"/>
  <c r="AK4556" i="2"/>
  <c r="AG4556" i="2"/>
  <c r="AH4556" i="2"/>
  <c r="AI4556" i="2"/>
  <c r="AJ4556" i="2"/>
  <c r="AF4557" i="2"/>
  <c r="AK4557" i="2"/>
  <c r="AG4557" i="2"/>
  <c r="AH4557" i="2"/>
  <c r="AL4557" i="2" s="1"/>
  <c r="AI4557" i="2"/>
  <c r="AJ4557" i="2"/>
  <c r="AF4558" i="2"/>
  <c r="AK4558" i="2" s="1"/>
  <c r="AL4558" i="2" s="1"/>
  <c r="AG4558" i="2"/>
  <c r="AH4558" i="2"/>
  <c r="AI4558" i="2"/>
  <c r="AJ4558" i="2"/>
  <c r="AF4559" i="2"/>
  <c r="AK4559" i="2"/>
  <c r="AL4559" i="2"/>
  <c r="AG4559" i="2"/>
  <c r="AH4559" i="2"/>
  <c r="AI4559" i="2"/>
  <c r="AJ4559" i="2"/>
  <c r="AF4560" i="2"/>
  <c r="AK4560" i="2"/>
  <c r="AG4560" i="2"/>
  <c r="AL4560" i="2" s="1"/>
  <c r="AH4560" i="2"/>
  <c r="AI4560" i="2"/>
  <c r="AJ4560" i="2"/>
  <c r="AF4561" i="2"/>
  <c r="AK4561" i="2" s="1"/>
  <c r="AG4561" i="2"/>
  <c r="AH4561" i="2"/>
  <c r="AL4561" i="2" s="1"/>
  <c r="AI4561" i="2"/>
  <c r="AJ4561" i="2"/>
  <c r="AF4562" i="2"/>
  <c r="AK4562" i="2" s="1"/>
  <c r="AG4562" i="2"/>
  <c r="AH4562" i="2"/>
  <c r="AI4562" i="2"/>
  <c r="AJ4562" i="2"/>
  <c r="AF4563" i="2"/>
  <c r="AK4563" i="2"/>
  <c r="AG4563" i="2"/>
  <c r="AH4563" i="2"/>
  <c r="AI4563" i="2"/>
  <c r="AJ4563" i="2"/>
  <c r="AF4564" i="2"/>
  <c r="AK4564" i="2" s="1"/>
  <c r="AG4564" i="2"/>
  <c r="AH4564" i="2"/>
  <c r="AI4564" i="2"/>
  <c r="AL4564" i="2" s="1"/>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c r="AG4568" i="2"/>
  <c r="AL4568" i="2" s="1"/>
  <c r="AH4568" i="2"/>
  <c r="AI4568" i="2"/>
  <c r="AJ4568" i="2"/>
  <c r="AF4569" i="2"/>
  <c r="AK4569" i="2"/>
  <c r="AG4569" i="2"/>
  <c r="AL4569" i="2"/>
  <c r="AH4569" i="2"/>
  <c r="AI4569" i="2"/>
  <c r="AJ4569" i="2"/>
  <c r="AF4570" i="2"/>
  <c r="AK4570" i="2"/>
  <c r="AG4570" i="2"/>
  <c r="AH4570" i="2"/>
  <c r="AL4570" i="2" s="1"/>
  <c r="AI4570" i="2"/>
  <c r="AJ4570" i="2"/>
  <c r="AF4571" i="2"/>
  <c r="AK4571" i="2"/>
  <c r="AG4571" i="2"/>
  <c r="AH4571" i="2"/>
  <c r="AI4571" i="2"/>
  <c r="AJ4571" i="2"/>
  <c r="AF4572" i="2"/>
  <c r="AK4572" i="2" s="1"/>
  <c r="AG4572" i="2"/>
  <c r="AL4572" i="2" s="1"/>
  <c r="AH4572" i="2"/>
  <c r="AI4572" i="2"/>
  <c r="AJ4572" i="2"/>
  <c r="AF4573" i="2"/>
  <c r="AK4573" i="2" s="1"/>
  <c r="AL4573" i="2" s="1"/>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L4576" i="2" s="1"/>
  <c r="AI4576" i="2"/>
  <c r="AJ4576" i="2"/>
  <c r="AF4577" i="2"/>
  <c r="AK4577" i="2" s="1"/>
  <c r="AL4577" i="2" s="1"/>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L4580" i="2" s="1"/>
  <c r="AJ4580" i="2"/>
  <c r="AF4581" i="2"/>
  <c r="AK4581" i="2" s="1"/>
  <c r="AG4581" i="2"/>
  <c r="AH4581" i="2"/>
  <c r="AI4581" i="2"/>
  <c r="AJ4581" i="2"/>
  <c r="AF4582" i="2"/>
  <c r="AK4582" i="2"/>
  <c r="AG4582" i="2"/>
  <c r="AH4582" i="2"/>
  <c r="AI4582" i="2"/>
  <c r="AJ4582" i="2"/>
  <c r="AL4582" i="2" s="1"/>
  <c r="AF4583" i="2"/>
  <c r="AK4583" i="2" s="1"/>
  <c r="AL4583" i="2" s="1"/>
  <c r="AG4583" i="2"/>
  <c r="AH4583" i="2"/>
  <c r="AI4583" i="2"/>
  <c r="AJ4583" i="2"/>
  <c r="AF4584" i="2"/>
  <c r="AK4584" i="2"/>
  <c r="AG4584" i="2"/>
  <c r="AH4584" i="2"/>
  <c r="AI4584" i="2"/>
  <c r="AJ4584" i="2"/>
  <c r="AL4584" i="2" s="1"/>
  <c r="AF4585" i="2"/>
  <c r="AK4585" i="2"/>
  <c r="AG4585" i="2"/>
  <c r="AH4585" i="2"/>
  <c r="AI4585" i="2"/>
  <c r="AJ4585" i="2"/>
  <c r="AL4585" i="2" s="1"/>
  <c r="AF4586" i="2"/>
  <c r="AK4586" i="2"/>
  <c r="AG4586" i="2"/>
  <c r="AH4586" i="2"/>
  <c r="AI4586" i="2"/>
  <c r="AL4586" i="2" s="1"/>
  <c r="AJ4586" i="2"/>
  <c r="AF4587" i="2"/>
  <c r="AK4587" i="2"/>
  <c r="AG4587" i="2"/>
  <c r="AH4587" i="2"/>
  <c r="AI4587" i="2"/>
  <c r="AJ4587" i="2"/>
  <c r="AF4588" i="2"/>
  <c r="AK4588" i="2"/>
  <c r="AG4588" i="2"/>
  <c r="AH4588" i="2"/>
  <c r="AI4588" i="2"/>
  <c r="AL4588" i="2" s="1"/>
  <c r="AJ4588" i="2"/>
  <c r="AF4589" i="2"/>
  <c r="AK4589" i="2"/>
  <c r="AG4589" i="2"/>
  <c r="AL4589" i="2" s="1"/>
  <c r="AH4589" i="2"/>
  <c r="AI4589" i="2"/>
  <c r="AJ4589" i="2"/>
  <c r="AF4590" i="2"/>
  <c r="AK4590" i="2" s="1"/>
  <c r="AL4590" i="2" s="1"/>
  <c r="AG4590" i="2"/>
  <c r="AH4590" i="2"/>
  <c r="AI4590" i="2"/>
  <c r="AJ4590" i="2"/>
  <c r="AF4591" i="2"/>
  <c r="AK4591" i="2"/>
  <c r="AG4591" i="2"/>
  <c r="AH4591" i="2"/>
  <c r="AI4591" i="2"/>
  <c r="AJ4591" i="2"/>
  <c r="AF4592" i="2"/>
  <c r="AK4592" i="2" s="1"/>
  <c r="AG4592" i="2"/>
  <c r="AL4592" i="2" s="1"/>
  <c r="AH4592" i="2"/>
  <c r="AI4592" i="2"/>
  <c r="AJ4592" i="2"/>
  <c r="AF4593" i="2"/>
  <c r="AK4593" i="2"/>
  <c r="AG4593" i="2"/>
  <c r="AH4593" i="2"/>
  <c r="AI4593" i="2"/>
  <c r="AJ4593" i="2"/>
  <c r="AF4594" i="2"/>
  <c r="AK4594" i="2" s="1"/>
  <c r="AL4594" i="2" s="1"/>
  <c r="AG4594" i="2"/>
  <c r="AH4594" i="2"/>
  <c r="AI4594" i="2"/>
  <c r="AJ4594" i="2"/>
  <c r="AF4595" i="2"/>
  <c r="AK4595" i="2" s="1"/>
  <c r="AG4595" i="2"/>
  <c r="AH4595" i="2"/>
  <c r="AI4595" i="2"/>
  <c r="AL4595" i="2" s="1"/>
  <c r="AJ4595" i="2"/>
  <c r="AF4596" i="2"/>
  <c r="AK4596" i="2" s="1"/>
  <c r="AG4596" i="2"/>
  <c r="AH4596" i="2"/>
  <c r="AL4596" i="2" s="1"/>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L4600" i="2" s="1"/>
  <c r="AH4600" i="2"/>
  <c r="AI4600" i="2"/>
  <c r="AJ4600" i="2"/>
  <c r="AF4601" i="2"/>
  <c r="AK4601" i="2" s="1"/>
  <c r="AL4601" i="2" s="1"/>
  <c r="AG4601" i="2"/>
  <c r="AH4601" i="2"/>
  <c r="AI4601" i="2"/>
  <c r="AJ4601" i="2"/>
  <c r="AF4602" i="2"/>
  <c r="AK4602" i="2"/>
  <c r="AG4602" i="2"/>
  <c r="AL4602" i="2" s="1"/>
  <c r="AH4602" i="2"/>
  <c r="AI4602" i="2"/>
  <c r="AJ4602" i="2"/>
  <c r="AF4603" i="2"/>
  <c r="AK4603" i="2" s="1"/>
  <c r="AG4603" i="2"/>
  <c r="AL4603" i="2" s="1"/>
  <c r="AH4603" i="2"/>
  <c r="AI4603" i="2"/>
  <c r="AJ4603" i="2"/>
  <c r="AF4604" i="2"/>
  <c r="AK4604" i="2" s="1"/>
  <c r="AG4604" i="2"/>
  <c r="AL4604" i="2" s="1"/>
  <c r="AH4604" i="2"/>
  <c r="AI4604" i="2"/>
  <c r="AJ4604" i="2"/>
  <c r="AF4605" i="2"/>
  <c r="AK4605" i="2" s="1"/>
  <c r="AL4605" i="2" s="1"/>
  <c r="AG4605" i="2"/>
  <c r="AH4605" i="2"/>
  <c r="AI4605" i="2"/>
  <c r="AJ4605" i="2"/>
  <c r="AF4606" i="2"/>
  <c r="AK4606" i="2" s="1"/>
  <c r="AG4606" i="2"/>
  <c r="AL4606" i="2"/>
  <c r="AH4606" i="2"/>
  <c r="AI4606" i="2"/>
  <c r="AJ4606" i="2"/>
  <c r="AF4607" i="2"/>
  <c r="AK4607" i="2" s="1"/>
  <c r="AG4607" i="2"/>
  <c r="AL4607" i="2"/>
  <c r="AH4607" i="2"/>
  <c r="AI4607" i="2"/>
  <c r="AJ4607" i="2"/>
  <c r="AF4608" i="2"/>
  <c r="AK4608" i="2"/>
  <c r="AG4608" i="2"/>
  <c r="AL4608" i="2" s="1"/>
  <c r="AH4608" i="2"/>
  <c r="AI4608" i="2"/>
  <c r="AJ4608" i="2"/>
  <c r="AF4609" i="2"/>
  <c r="AK4609" i="2"/>
  <c r="AG4609" i="2"/>
  <c r="AH4609" i="2"/>
  <c r="AI4609" i="2"/>
  <c r="AJ4609" i="2"/>
  <c r="AF4610" i="2"/>
  <c r="AK4610" i="2"/>
  <c r="AL4610" i="2" s="1"/>
  <c r="AG4610" i="2"/>
  <c r="AH4610" i="2"/>
  <c r="AI4610" i="2"/>
  <c r="AJ4610" i="2"/>
  <c r="AF4611" i="2"/>
  <c r="AK4611" i="2" s="1"/>
  <c r="AG4611" i="2"/>
  <c r="AH4611" i="2"/>
  <c r="AI4611" i="2"/>
  <c r="AJ4611" i="2"/>
  <c r="AL4611" i="2" s="1"/>
  <c r="AF4612" i="2"/>
  <c r="AK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L4615" i="2" s="1"/>
  <c r="AJ4615" i="2"/>
  <c r="AF4616" i="2"/>
  <c r="AK4616" i="2"/>
  <c r="AG4616" i="2"/>
  <c r="AH4616" i="2"/>
  <c r="AI4616" i="2"/>
  <c r="AJ4616" i="2"/>
  <c r="AF4617" i="2"/>
  <c r="AK4617" i="2"/>
  <c r="AG4617" i="2"/>
  <c r="AH4617" i="2"/>
  <c r="AI4617" i="2"/>
  <c r="AL4617" i="2" s="1"/>
  <c r="AJ4617" i="2"/>
  <c r="AF4618" i="2"/>
  <c r="AK4618" i="2" s="1"/>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G4621" i="2"/>
  <c r="AH4621" i="2"/>
  <c r="AI4621" i="2"/>
  <c r="AJ4621" i="2"/>
  <c r="AF4622" i="2"/>
  <c r="AK4622" i="2"/>
  <c r="AG4622" i="2"/>
  <c r="AH4622" i="2"/>
  <c r="AL4622" i="2"/>
  <c r="AI4622" i="2"/>
  <c r="AJ4622" i="2"/>
  <c r="AF4623" i="2"/>
  <c r="AK4623" i="2"/>
  <c r="AG4623" i="2"/>
  <c r="AL4623" i="2" s="1"/>
  <c r="AH4623" i="2"/>
  <c r="AI4623" i="2"/>
  <c r="AJ4623" i="2"/>
  <c r="AF4624" i="2"/>
  <c r="AK4624" i="2" s="1"/>
  <c r="AL4624" i="2" s="1"/>
  <c r="AG4624" i="2"/>
  <c r="AH4624" i="2"/>
  <c r="AI4624" i="2"/>
  <c r="AJ4624" i="2"/>
  <c r="AF4625" i="2"/>
  <c r="AK4625" i="2"/>
  <c r="AG4625" i="2"/>
  <c r="AL4625" i="2" s="1"/>
  <c r="AH4625" i="2"/>
  <c r="AI4625" i="2"/>
  <c r="AJ4625" i="2"/>
  <c r="AF4626" i="2"/>
  <c r="AK4626" i="2" s="1"/>
  <c r="AG4626" i="2"/>
  <c r="AH4626" i="2"/>
  <c r="AL4626" i="2" s="1"/>
  <c r="AI4626" i="2"/>
  <c r="AJ4626" i="2"/>
  <c r="AF4627" i="2"/>
  <c r="AK4627" i="2" s="1"/>
  <c r="AG4627" i="2"/>
  <c r="AH4627" i="2"/>
  <c r="AI4627" i="2"/>
  <c r="AJ4627" i="2"/>
  <c r="AF4628" i="2"/>
  <c r="AK4628" i="2"/>
  <c r="AG4628" i="2"/>
  <c r="AL4628" i="2" s="1"/>
  <c r="AH4628" i="2"/>
  <c r="AI4628" i="2"/>
  <c r="AJ4628" i="2"/>
  <c r="AF4629" i="2"/>
  <c r="AK4629" i="2"/>
  <c r="AG4629" i="2"/>
  <c r="AL4629" i="2" s="1"/>
  <c r="AH4629" i="2"/>
  <c r="AI4629" i="2"/>
  <c r="AJ4629" i="2"/>
  <c r="AF4630" i="2"/>
  <c r="AK4630" i="2" s="1"/>
  <c r="AG4630" i="2"/>
  <c r="AL4630" i="2" s="1"/>
  <c r="AH4630" i="2"/>
  <c r="AI4630" i="2"/>
  <c r="AJ4630" i="2"/>
  <c r="AF4631" i="2"/>
  <c r="AK4631" i="2"/>
  <c r="AG4631" i="2"/>
  <c r="AH4631" i="2"/>
  <c r="AI4631" i="2"/>
  <c r="AJ4631" i="2"/>
  <c r="AF4632" i="2"/>
  <c r="AK4632" i="2"/>
  <c r="AG4632" i="2"/>
  <c r="AH4632" i="2"/>
  <c r="AI4632" i="2"/>
  <c r="AJ4632" i="2"/>
  <c r="AF4633" i="2"/>
  <c r="AK4633" i="2"/>
  <c r="AL4633" i="2" s="1"/>
  <c r="AG4633" i="2"/>
  <c r="AH4633" i="2"/>
  <c r="AI4633" i="2"/>
  <c r="AJ4633" i="2"/>
  <c r="AF4634" i="2"/>
  <c r="AK4634" i="2"/>
  <c r="AG4634" i="2"/>
  <c r="AH4634" i="2"/>
  <c r="AI4634" i="2"/>
  <c r="AJ4634" i="2"/>
  <c r="AF4635" i="2"/>
  <c r="AK4635" i="2" s="1"/>
  <c r="AG4635" i="2"/>
  <c r="AL4635" i="2" s="1"/>
  <c r="AH4635" i="2"/>
  <c r="AI4635" i="2"/>
  <c r="AJ4635" i="2"/>
  <c r="AF4636" i="2"/>
  <c r="AK4636" i="2" s="1"/>
  <c r="AL4636" i="2" s="1"/>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L4640" i="2"/>
  <c r="AG4640" i="2"/>
  <c r="AH4640" i="2"/>
  <c r="AI4640" i="2"/>
  <c r="AJ4640" i="2"/>
  <c r="AF4641" i="2"/>
  <c r="AK4641" i="2"/>
  <c r="AG4641" i="2"/>
  <c r="AL4641" i="2" s="1"/>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c r="AG4645" i="2"/>
  <c r="AH4645" i="2"/>
  <c r="AI4645" i="2"/>
  <c r="AJ4645" i="2"/>
  <c r="AF4646" i="2"/>
  <c r="AK4646" i="2" s="1"/>
  <c r="AG4646" i="2"/>
  <c r="AH4646" i="2"/>
  <c r="AI4646" i="2"/>
  <c r="AJ4646" i="2"/>
  <c r="AF4647" i="2"/>
  <c r="AK4647" i="2" s="1"/>
  <c r="AL4647" i="2" s="1"/>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L4652" i="2" s="1"/>
  <c r="AG4652" i="2"/>
  <c r="AH4652" i="2"/>
  <c r="AI4652" i="2"/>
  <c r="AJ4652" i="2"/>
  <c r="AF4653" i="2"/>
  <c r="AK4653" i="2"/>
  <c r="AG4653" i="2"/>
  <c r="AH4653" i="2"/>
  <c r="AI4653" i="2"/>
  <c r="AL4653" i="2" s="1"/>
  <c r="AJ4653" i="2"/>
  <c r="AF4654" i="2"/>
  <c r="AK4654" i="2" s="1"/>
  <c r="AG4654" i="2"/>
  <c r="AH4654" i="2"/>
  <c r="AL4654" i="2" s="1"/>
  <c r="AI4654" i="2"/>
  <c r="AJ4654" i="2"/>
  <c r="AF4655" i="2"/>
  <c r="AK4655" i="2" s="1"/>
  <c r="AG4655" i="2"/>
  <c r="AH4655" i="2"/>
  <c r="AL4655" i="2" s="1"/>
  <c r="AI4655" i="2"/>
  <c r="AJ4655" i="2"/>
  <c r="AF4656" i="2"/>
  <c r="AK4656" i="2" s="1"/>
  <c r="AL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L4662" i="2"/>
  <c r="AG4662" i="2"/>
  <c r="AH4662" i="2"/>
  <c r="AI4662" i="2"/>
  <c r="AJ4662" i="2"/>
  <c r="AF4663" i="2"/>
  <c r="AK4663" i="2"/>
  <c r="AG4663" i="2"/>
  <c r="AH4663" i="2"/>
  <c r="AI4663" i="2"/>
  <c r="AJ4663" i="2"/>
  <c r="AF4664" i="2"/>
  <c r="AK4664" i="2"/>
  <c r="AL4664" i="2" s="1"/>
  <c r="AG4664" i="2"/>
  <c r="AH4664" i="2"/>
  <c r="AI4664" i="2"/>
  <c r="AJ4664" i="2"/>
  <c r="AF4665" i="2"/>
  <c r="AK4665" i="2"/>
  <c r="AG4665" i="2"/>
  <c r="AH4665" i="2"/>
  <c r="AI4665" i="2"/>
  <c r="AJ4665" i="2"/>
  <c r="AF4666" i="2"/>
  <c r="AK4666" i="2"/>
  <c r="AL4666" i="2" s="1"/>
  <c r="AG4666" i="2"/>
  <c r="AH4666" i="2"/>
  <c r="AI4666" i="2"/>
  <c r="AJ4666" i="2"/>
  <c r="AF4667" i="2"/>
  <c r="AK4667" i="2" s="1"/>
  <c r="AG4667" i="2"/>
  <c r="AH4667" i="2"/>
  <c r="AI4667" i="2"/>
  <c r="AJ4667" i="2"/>
  <c r="AL4667" i="2" s="1"/>
  <c r="AF4668" i="2"/>
  <c r="AK4668" i="2"/>
  <c r="AG4668" i="2"/>
  <c r="AH4668" i="2"/>
  <c r="AI4668" i="2"/>
  <c r="AJ4668" i="2"/>
  <c r="AF4669" i="2"/>
  <c r="AK4669" i="2" s="1"/>
  <c r="AG4669" i="2"/>
  <c r="AH4669" i="2"/>
  <c r="AI4669" i="2"/>
  <c r="AJ4669" i="2"/>
  <c r="AF4670" i="2"/>
  <c r="AK4670" i="2" s="1"/>
  <c r="AG4670" i="2"/>
  <c r="AH4670" i="2"/>
  <c r="AI4670" i="2"/>
  <c r="AJ4670" i="2"/>
  <c r="AF4671" i="2"/>
  <c r="AK4671" i="2" s="1"/>
  <c r="AG4671" i="2"/>
  <c r="AH4671" i="2"/>
  <c r="AI4671" i="2"/>
  <c r="AJ4671" i="2"/>
  <c r="AF4672" i="2"/>
  <c r="AK4672" i="2" s="1"/>
  <c r="AG4672" i="2"/>
  <c r="AL4672" i="2" s="1"/>
  <c r="AH4672" i="2"/>
  <c r="AI4672" i="2"/>
  <c r="AJ4672" i="2"/>
  <c r="AF4673" i="2"/>
  <c r="AK4673" i="2" s="1"/>
  <c r="AG4673" i="2"/>
  <c r="AH4673" i="2"/>
  <c r="AL4673" i="2" s="1"/>
  <c r="AI4673" i="2"/>
  <c r="AJ4673" i="2"/>
  <c r="AF4674" i="2"/>
  <c r="AK4674" i="2" s="1"/>
  <c r="AG4674" i="2"/>
  <c r="AH4674" i="2"/>
  <c r="AI4674" i="2"/>
  <c r="AJ4674" i="2"/>
  <c r="AF4675" i="2"/>
  <c r="AK4675" i="2"/>
  <c r="AG4675" i="2"/>
  <c r="AH4675" i="2"/>
  <c r="AI4675" i="2"/>
  <c r="AJ4675" i="2"/>
  <c r="AL4675" i="2" s="1"/>
  <c r="AF4676" i="2"/>
  <c r="AK4676" i="2"/>
  <c r="AL4676" i="2" s="1"/>
  <c r="AG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L4681" i="2" s="1"/>
  <c r="AI4681" i="2"/>
  <c r="AJ4681" i="2"/>
  <c r="AF4682" i="2"/>
  <c r="AK4682" i="2" s="1"/>
  <c r="AG4682" i="2"/>
  <c r="AH4682" i="2"/>
  <c r="AI4682" i="2"/>
  <c r="AJ4682" i="2"/>
  <c r="AF4683" i="2"/>
  <c r="AK4683" i="2"/>
  <c r="AL4683" i="2" s="1"/>
  <c r="AG4683" i="2"/>
  <c r="AH4683" i="2"/>
  <c r="AI4683" i="2"/>
  <c r="AJ4683" i="2"/>
  <c r="AF4684" i="2"/>
  <c r="AK4684" i="2"/>
  <c r="AG4684" i="2"/>
  <c r="AH4684" i="2"/>
  <c r="AI4684" i="2"/>
  <c r="AJ4684" i="2"/>
  <c r="AF4685" i="2"/>
  <c r="AK4685" i="2" s="1"/>
  <c r="AL4685" i="2" s="1"/>
  <c r="AG4685" i="2"/>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s="1"/>
  <c r="AG4690" i="2"/>
  <c r="AH4690" i="2"/>
  <c r="AI4690" i="2"/>
  <c r="AL4690" i="2" s="1"/>
  <c r="AJ4690" i="2"/>
  <c r="AF4691" i="2"/>
  <c r="AK4691" i="2" s="1"/>
  <c r="AG4691" i="2"/>
  <c r="AH4691" i="2"/>
  <c r="AI4691" i="2"/>
  <c r="AJ4691" i="2"/>
  <c r="AF4692" i="2"/>
  <c r="AK4692" i="2" s="1"/>
  <c r="AG4692" i="2"/>
  <c r="AH4692" i="2"/>
  <c r="AL4692" i="2" s="1"/>
  <c r="AI4692" i="2"/>
  <c r="AJ4692" i="2"/>
  <c r="AF4693" i="2"/>
  <c r="AG4693" i="2"/>
  <c r="AH4693" i="2"/>
  <c r="AI4693" i="2"/>
  <c r="AJ4693" i="2"/>
  <c r="AK4693" i="2"/>
  <c r="AF4694" i="2"/>
  <c r="AK4694" i="2" s="1"/>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L4698" i="2" s="1"/>
  <c r="AG4698" i="2"/>
  <c r="AH4698" i="2"/>
  <c r="AI4698" i="2"/>
  <c r="AJ4698" i="2"/>
  <c r="AF4699" i="2"/>
  <c r="AK4699" i="2" s="1"/>
  <c r="AG4699" i="2"/>
  <c r="AH4699" i="2"/>
  <c r="AL4699" i="2" s="1"/>
  <c r="AI4699" i="2"/>
  <c r="AJ4699" i="2"/>
  <c r="AF4700" i="2"/>
  <c r="AK4700" i="2"/>
  <c r="AG4700" i="2"/>
  <c r="AH4700" i="2"/>
  <c r="AI4700" i="2"/>
  <c r="AJ4700" i="2"/>
  <c r="AF4701" i="2"/>
  <c r="AK4701" i="2"/>
  <c r="AG4701" i="2"/>
  <c r="AH4701" i="2"/>
  <c r="AL4701" i="2" s="1"/>
  <c r="AI4701" i="2"/>
  <c r="AJ4701" i="2"/>
  <c r="AF4702" i="2"/>
  <c r="AK4702" i="2"/>
  <c r="AG4702" i="2"/>
  <c r="AL4702" i="2" s="1"/>
  <c r="AH4702" i="2"/>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s="1"/>
  <c r="AL4706" i="2" s="1"/>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c r="AH4709" i="2"/>
  <c r="AI4709" i="2"/>
  <c r="AJ4709" i="2"/>
  <c r="AF4710" i="2"/>
  <c r="AK4710" i="2" s="1"/>
  <c r="AG4710" i="2"/>
  <c r="AL4710" i="2" s="1"/>
  <c r="AH4710" i="2"/>
  <c r="AI4710" i="2"/>
  <c r="AJ4710" i="2"/>
  <c r="AF4711" i="2"/>
  <c r="AK4711" i="2" s="1"/>
  <c r="AG4711" i="2"/>
  <c r="AH4711" i="2"/>
  <c r="AI4711" i="2"/>
  <c r="AJ4711" i="2"/>
  <c r="AF4712" i="2"/>
  <c r="AK4712" i="2"/>
  <c r="AG4712" i="2"/>
  <c r="AH4712" i="2"/>
  <c r="AI4712" i="2"/>
  <c r="AJ4712" i="2"/>
  <c r="AL4712" i="2"/>
  <c r="AF4713" i="2"/>
  <c r="AK4713" i="2" s="1"/>
  <c r="AG4713" i="2"/>
  <c r="AH4713" i="2"/>
  <c r="AI4713" i="2"/>
  <c r="AJ4713" i="2"/>
  <c r="AF4714" i="2"/>
  <c r="AK4714" i="2" s="1"/>
  <c r="AG4714" i="2"/>
  <c r="AH4714" i="2"/>
  <c r="AI4714" i="2"/>
  <c r="AJ4714" i="2"/>
  <c r="AL4714" i="2" s="1"/>
  <c r="AF4715" i="2"/>
  <c r="AK4715" i="2" s="1"/>
  <c r="AG4715" i="2"/>
  <c r="AL4715" i="2" s="1"/>
  <c r="AH4715" i="2"/>
  <c r="AI4715" i="2"/>
  <c r="AJ4715" i="2"/>
  <c r="AF4716" i="2"/>
  <c r="AK4716" i="2" s="1"/>
  <c r="AG4716" i="2"/>
  <c r="AH4716" i="2"/>
  <c r="AI4716" i="2"/>
  <c r="AJ4716" i="2"/>
  <c r="AL4716" i="2" s="1"/>
  <c r="AF4717" i="2"/>
  <c r="AK4717" i="2"/>
  <c r="AG4717" i="2"/>
  <c r="AL4717" i="2" s="1"/>
  <c r="AH4717" i="2"/>
  <c r="AI4717" i="2"/>
  <c r="AJ4717" i="2"/>
  <c r="AF4718" i="2"/>
  <c r="AK4718" i="2"/>
  <c r="AG4718" i="2"/>
  <c r="AL4718" i="2" s="1"/>
  <c r="AH4718" i="2"/>
  <c r="AI4718" i="2"/>
  <c r="AJ4718" i="2"/>
  <c r="AF4719" i="2"/>
  <c r="AK4719" i="2" s="1"/>
  <c r="AL4719" i="2" s="1"/>
  <c r="AG4719" i="2"/>
  <c r="AH4719" i="2"/>
  <c r="AI4719" i="2"/>
  <c r="AJ4719" i="2"/>
  <c r="AF4720" i="2"/>
  <c r="AK4720" i="2" s="1"/>
  <c r="AG4720" i="2"/>
  <c r="AH4720" i="2"/>
  <c r="AL4720" i="2" s="1"/>
  <c r="AI4720" i="2"/>
  <c r="AJ4720" i="2"/>
  <c r="AF4721" i="2"/>
  <c r="AK4721" i="2" s="1"/>
  <c r="AL4721" i="2" s="1"/>
  <c r="AG4721" i="2"/>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L4726" i="2" s="1"/>
  <c r="AH4726" i="2"/>
  <c r="AI4726" i="2"/>
  <c r="AJ4726" i="2"/>
  <c r="AF4727" i="2"/>
  <c r="AK4727" i="2" s="1"/>
  <c r="AG4727" i="2"/>
  <c r="AH4727" i="2"/>
  <c r="AL4727" i="2" s="1"/>
  <c r="AI4727" i="2"/>
  <c r="AJ4727" i="2"/>
  <c r="AF4728" i="2"/>
  <c r="AK4728" i="2"/>
  <c r="AL4728" i="2"/>
  <c r="AG4728" i="2"/>
  <c r="AH4728" i="2"/>
  <c r="AI4728" i="2"/>
  <c r="AJ4728" i="2"/>
  <c r="AF4729" i="2"/>
  <c r="AK4729" i="2"/>
  <c r="AG4729" i="2"/>
  <c r="AH4729" i="2"/>
  <c r="AI4729" i="2"/>
  <c r="AJ4729" i="2"/>
  <c r="AL4729" i="2" s="1"/>
  <c r="AF4730" i="2"/>
  <c r="AK4730" i="2" s="1"/>
  <c r="AL4730" i="2" s="1"/>
  <c r="AG4730" i="2"/>
  <c r="AH4730" i="2"/>
  <c r="AI4730" i="2"/>
  <c r="AJ4730" i="2"/>
  <c r="AF4731" i="2"/>
  <c r="AK4731" i="2" s="1"/>
  <c r="AG4731" i="2"/>
  <c r="AH4731" i="2"/>
  <c r="AI4731" i="2"/>
  <c r="AL4731" i="2" s="1"/>
  <c r="AJ4731" i="2"/>
  <c r="AF4732" i="2"/>
  <c r="AK4732" i="2"/>
  <c r="AG4732" i="2"/>
  <c r="AL4732" i="2" s="1"/>
  <c r="AH4732" i="2"/>
  <c r="AI4732" i="2"/>
  <c r="AJ4732" i="2"/>
  <c r="AF4733" i="2"/>
  <c r="AK4733" i="2" s="1"/>
  <c r="AG4733" i="2"/>
  <c r="AH4733" i="2"/>
  <c r="AI4733" i="2"/>
  <c r="AL4733" i="2" s="1"/>
  <c r="AJ4733" i="2"/>
  <c r="AF4734" i="2"/>
  <c r="AK4734" i="2"/>
  <c r="AG4734" i="2"/>
  <c r="AH4734" i="2"/>
  <c r="AI4734" i="2"/>
  <c r="AJ4734" i="2"/>
  <c r="AF4735" i="2"/>
  <c r="AK4735" i="2" s="1"/>
  <c r="AG4735" i="2"/>
  <c r="AL4735" i="2" s="1"/>
  <c r="AH4735" i="2"/>
  <c r="AI4735" i="2"/>
  <c r="AJ4735" i="2"/>
  <c r="AF4736" i="2"/>
  <c r="AK4736" i="2" s="1"/>
  <c r="AG4736" i="2"/>
  <c r="AH4736" i="2"/>
  <c r="AI4736" i="2"/>
  <c r="AJ4736" i="2"/>
  <c r="AF4737" i="2"/>
  <c r="AK4737" i="2"/>
  <c r="AG4737" i="2"/>
  <c r="AL4737" i="2" s="1"/>
  <c r="AH4737" i="2"/>
  <c r="AI4737" i="2"/>
  <c r="AJ4737" i="2"/>
  <c r="AF4738" i="2"/>
  <c r="AK4738" i="2"/>
  <c r="AG4738" i="2"/>
  <c r="AH4738" i="2"/>
  <c r="AI4738" i="2"/>
  <c r="AJ4738" i="2"/>
  <c r="AF4739" i="2"/>
  <c r="AK4739" i="2" s="1"/>
  <c r="AG4739" i="2"/>
  <c r="AL4739" i="2" s="1"/>
  <c r="AH4739" i="2"/>
  <c r="AI4739" i="2"/>
  <c r="AJ4739" i="2"/>
  <c r="AF4740" i="2"/>
  <c r="AK4740" i="2" s="1"/>
  <c r="AG4740" i="2"/>
  <c r="AL4740" i="2" s="1"/>
  <c r="AH4740" i="2"/>
  <c r="AI4740" i="2"/>
  <c r="AJ4740" i="2"/>
  <c r="AF4741" i="2"/>
  <c r="AK4741" i="2" s="1"/>
  <c r="AL4741" i="2" s="1"/>
  <c r="AG4741" i="2"/>
  <c r="AH4741" i="2"/>
  <c r="AI4741" i="2"/>
  <c r="AJ4741" i="2"/>
  <c r="AF4742" i="2"/>
  <c r="AK4742" i="2" s="1"/>
  <c r="AL4742" i="2" s="1"/>
  <c r="AG4742" i="2"/>
  <c r="AH4742" i="2"/>
  <c r="AI4742" i="2"/>
  <c r="AJ4742" i="2"/>
  <c r="AF4743" i="2"/>
  <c r="AK4743" i="2"/>
  <c r="AG4743" i="2"/>
  <c r="AH4743" i="2"/>
  <c r="AL4743" i="2" s="1"/>
  <c r="AI4743" i="2"/>
  <c r="AJ4743" i="2"/>
  <c r="AF4744" i="2"/>
  <c r="AK4744" i="2"/>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H4747" i="2"/>
  <c r="AL4747" i="2" s="1"/>
  <c r="AI4747" i="2"/>
  <c r="AJ4747" i="2"/>
  <c r="AF4748" i="2"/>
  <c r="AK4748" i="2"/>
  <c r="AG4748" i="2"/>
  <c r="AL4748" i="2" s="1"/>
  <c r="AH4748" i="2"/>
  <c r="AI4748" i="2"/>
  <c r="AJ4748" i="2"/>
  <c r="AF4749" i="2"/>
  <c r="AK4749" i="2" s="1"/>
  <c r="AL4749" i="2" s="1"/>
  <c r="AG4749" i="2"/>
  <c r="AH4749" i="2"/>
  <c r="AI4749" i="2"/>
  <c r="AJ4749" i="2"/>
  <c r="AF4750" i="2"/>
  <c r="AK4750" i="2"/>
  <c r="AL4750" i="2" s="1"/>
  <c r="AG4750" i="2"/>
  <c r="AH4750" i="2"/>
  <c r="AI4750" i="2"/>
  <c r="AJ4750" i="2"/>
  <c r="AF4751" i="2"/>
  <c r="AK4751" i="2" s="1"/>
  <c r="AG4751" i="2"/>
  <c r="AH4751" i="2"/>
  <c r="AI4751" i="2"/>
  <c r="AJ4751" i="2"/>
  <c r="AF4752" i="2"/>
  <c r="AK4752" i="2"/>
  <c r="AL4752" i="2" s="1"/>
  <c r="AG4752" i="2"/>
  <c r="AH4752" i="2"/>
  <c r="AI4752" i="2"/>
  <c r="AJ4752" i="2"/>
  <c r="AF4753" i="2"/>
  <c r="AK4753" i="2" s="1"/>
  <c r="AG4753" i="2"/>
  <c r="AL4753" i="2"/>
  <c r="AH4753" i="2"/>
  <c r="AI4753" i="2"/>
  <c r="AJ4753" i="2"/>
  <c r="AF4754" i="2"/>
  <c r="AK4754" i="2" s="1"/>
  <c r="AG4754" i="2"/>
  <c r="AH4754" i="2"/>
  <c r="AI4754" i="2"/>
  <c r="AJ4754" i="2"/>
  <c r="AF4755" i="2"/>
  <c r="AK4755" i="2"/>
  <c r="AG4755" i="2"/>
  <c r="AH4755" i="2"/>
  <c r="AL4755" i="2" s="1"/>
  <c r="AI4755" i="2"/>
  <c r="AJ4755" i="2"/>
  <c r="AF4756" i="2"/>
  <c r="AK4756" i="2"/>
  <c r="AG4756" i="2"/>
  <c r="AL4756" i="2" s="1"/>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L4763" i="2" s="1"/>
  <c r="AH4763" i="2"/>
  <c r="AI4763" i="2"/>
  <c r="AJ4763" i="2"/>
  <c r="AF4764" i="2"/>
  <c r="AK4764" i="2"/>
  <c r="AL4764" i="2" s="1"/>
  <c r="AG4764" i="2"/>
  <c r="AH4764" i="2"/>
  <c r="AI4764" i="2"/>
  <c r="AJ4764" i="2"/>
  <c r="AF4765" i="2"/>
  <c r="AK4765" i="2"/>
  <c r="AG4765" i="2"/>
  <c r="AL4765" i="2" s="1"/>
  <c r="AH4765" i="2"/>
  <c r="AI4765" i="2"/>
  <c r="AJ4765" i="2"/>
  <c r="AF4766" i="2"/>
  <c r="AK4766" i="2"/>
  <c r="AG4766" i="2"/>
  <c r="AH4766" i="2"/>
  <c r="AI4766" i="2"/>
  <c r="AJ4766" i="2"/>
  <c r="AF4767" i="2"/>
  <c r="AK4767" i="2" s="1"/>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c r="AG4771" i="2"/>
  <c r="AH4771" i="2"/>
  <c r="AL4771" i="2" s="1"/>
  <c r="AI4771" i="2"/>
  <c r="AJ4771" i="2"/>
  <c r="AF4772" i="2"/>
  <c r="AK4772" i="2" s="1"/>
  <c r="AG4772" i="2"/>
  <c r="AH4772" i="2"/>
  <c r="AI4772" i="2"/>
  <c r="AJ4772" i="2"/>
  <c r="AF4773" i="2"/>
  <c r="AK4773" i="2"/>
  <c r="AG4773" i="2"/>
  <c r="AL4773" i="2" s="1"/>
  <c r="AH4773" i="2"/>
  <c r="AI4773" i="2"/>
  <c r="AJ4773" i="2"/>
  <c r="AF4774" i="2"/>
  <c r="AK4774" i="2"/>
  <c r="AG4774" i="2"/>
  <c r="AH4774" i="2"/>
  <c r="AL4774" i="2"/>
  <c r="AI4774" i="2"/>
  <c r="AJ4774" i="2"/>
  <c r="AF4775" i="2"/>
  <c r="AK4775" i="2" s="1"/>
  <c r="AG4775" i="2"/>
  <c r="AH4775" i="2"/>
  <c r="AI4775" i="2"/>
  <c r="AJ4775" i="2"/>
  <c r="AF4776" i="2"/>
  <c r="AK4776" i="2" s="1"/>
  <c r="AL4776" i="2" s="1"/>
  <c r="AG4776" i="2"/>
  <c r="AH4776" i="2"/>
  <c r="AI4776" i="2"/>
  <c r="AJ4776" i="2"/>
  <c r="AF4777" i="2"/>
  <c r="AK4777" i="2"/>
  <c r="AG4777" i="2"/>
  <c r="AH4777" i="2"/>
  <c r="AL4777" i="2" s="1"/>
  <c r="AI4777" i="2"/>
  <c r="AJ4777" i="2"/>
  <c r="AF4778" i="2"/>
  <c r="AK4778" i="2" s="1"/>
  <c r="AG4778" i="2"/>
  <c r="AH4778" i="2"/>
  <c r="AI4778" i="2"/>
  <c r="AJ4778" i="2"/>
  <c r="AF4779" i="2"/>
  <c r="AK4779" i="2"/>
  <c r="AL4779" i="2" s="1"/>
  <c r="AG4779" i="2"/>
  <c r="AH4779" i="2"/>
  <c r="AI4779" i="2"/>
  <c r="AJ4779" i="2"/>
  <c r="AF4780" i="2"/>
  <c r="AK4780" i="2" s="1"/>
  <c r="AG4780" i="2"/>
  <c r="AH4780" i="2"/>
  <c r="AI4780" i="2"/>
  <c r="AJ4780" i="2"/>
  <c r="AF4781" i="2"/>
  <c r="AK4781" i="2"/>
  <c r="AL4781" i="2" s="1"/>
  <c r="AG4781" i="2"/>
  <c r="AH4781" i="2"/>
  <c r="AI4781" i="2"/>
  <c r="AJ4781" i="2"/>
  <c r="AF4782" i="2"/>
  <c r="AK4782" i="2"/>
  <c r="AG4782" i="2"/>
  <c r="AH4782" i="2"/>
  <c r="AI4782" i="2"/>
  <c r="AJ4782" i="2"/>
  <c r="AL4782" i="2" s="1"/>
  <c r="AF4783" i="2"/>
  <c r="AK4783" i="2" s="1"/>
  <c r="AG4783" i="2"/>
  <c r="AL4783" i="2" s="1"/>
  <c r="AH4783" i="2"/>
  <c r="AI4783" i="2"/>
  <c r="AJ4783" i="2"/>
  <c r="AF4784" i="2"/>
  <c r="AK4784" i="2" s="1"/>
  <c r="AL4784" i="2" s="1"/>
  <c r="AG4784" i="2"/>
  <c r="AH4784" i="2"/>
  <c r="AI4784" i="2"/>
  <c r="AJ4784" i="2"/>
  <c r="AF4785" i="2"/>
  <c r="AK4785" i="2" s="1"/>
  <c r="AL4785" i="2" s="1"/>
  <c r="AG4785" i="2"/>
  <c r="AH4785" i="2"/>
  <c r="AI4785" i="2"/>
  <c r="AJ4785" i="2"/>
  <c r="AF4786" i="2"/>
  <c r="AK4786" i="2" s="1"/>
  <c r="AG4786" i="2"/>
  <c r="AH4786" i="2"/>
  <c r="AL4786" i="2" s="1"/>
  <c r="AI4786" i="2"/>
  <c r="AJ4786" i="2"/>
  <c r="AF4787" i="2"/>
  <c r="AK4787" i="2" s="1"/>
  <c r="AG4787" i="2"/>
  <c r="AH4787" i="2"/>
  <c r="AI4787" i="2"/>
  <c r="AJ4787" i="2"/>
  <c r="AF4788" i="2"/>
  <c r="AK4788" i="2" s="1"/>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s="1"/>
  <c r="AH4791" i="2"/>
  <c r="AI4791" i="2"/>
  <c r="AJ4791" i="2"/>
  <c r="AF4792" i="2"/>
  <c r="AK4792" i="2" s="1"/>
  <c r="AL4792" i="2" s="1"/>
  <c r="AG4792" i="2"/>
  <c r="AH4792" i="2"/>
  <c r="AI4792" i="2"/>
  <c r="AJ4792" i="2"/>
  <c r="AF4793" i="2"/>
  <c r="AK4793" i="2" s="1"/>
  <c r="AG4793" i="2"/>
  <c r="AH4793" i="2"/>
  <c r="AI4793" i="2"/>
  <c r="AJ4793" i="2"/>
  <c r="AF4794" i="2"/>
  <c r="AK4794" i="2" s="1"/>
  <c r="AL4794" i="2" s="1"/>
  <c r="AG4794" i="2"/>
  <c r="AH4794" i="2"/>
  <c r="AI4794" i="2"/>
  <c r="AJ4794" i="2"/>
  <c r="AF4795" i="2"/>
  <c r="AK4795" i="2" s="1"/>
  <c r="AG4795" i="2"/>
  <c r="AH4795" i="2"/>
  <c r="AL4795" i="2" s="1"/>
  <c r="AI4795" i="2"/>
  <c r="AJ4795" i="2"/>
  <c r="AF4796" i="2"/>
  <c r="AK4796" i="2"/>
  <c r="AG4796" i="2"/>
  <c r="AH4796" i="2"/>
  <c r="AI4796" i="2"/>
  <c r="AJ4796" i="2"/>
  <c r="AF4797" i="2"/>
  <c r="AK4797" i="2" s="1"/>
  <c r="AG4797" i="2"/>
  <c r="AL4797" i="2" s="1"/>
  <c r="AH4797" i="2"/>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L4804" i="2" s="1"/>
  <c r="AF4805" i="2"/>
  <c r="AK4805" i="2" s="1"/>
  <c r="AG4805" i="2"/>
  <c r="AH4805" i="2"/>
  <c r="AI4805" i="2"/>
  <c r="AJ4805" i="2"/>
  <c r="AF4806" i="2"/>
  <c r="AK4806" i="2" s="1"/>
  <c r="AG4806" i="2"/>
  <c r="AH4806" i="2"/>
  <c r="AI4806" i="2"/>
  <c r="AJ4806" i="2"/>
  <c r="AF4807" i="2"/>
  <c r="AK4807" i="2"/>
  <c r="AG4807" i="2"/>
  <c r="AH4807" i="2"/>
  <c r="AI4807" i="2"/>
  <c r="AJ4807" i="2"/>
  <c r="AF4808" i="2"/>
  <c r="AK4808" i="2" s="1"/>
  <c r="AG4808" i="2"/>
  <c r="AL4808" i="2" s="1"/>
  <c r="AH4808" i="2"/>
  <c r="AI4808" i="2"/>
  <c r="AJ4808" i="2"/>
  <c r="AF4809" i="2"/>
  <c r="AK4809" i="2" s="1"/>
  <c r="AG4809" i="2"/>
  <c r="AL4809" i="2" s="1"/>
  <c r="AH4809" i="2"/>
  <c r="AI4809" i="2"/>
  <c r="AJ4809" i="2"/>
  <c r="AF4810" i="2"/>
  <c r="AK4810" i="2" s="1"/>
  <c r="AL4810" i="2" s="1"/>
  <c r="AG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L4815" i="2" s="1"/>
  <c r="AJ4815" i="2"/>
  <c r="AF4816" i="2"/>
  <c r="AK4816" i="2"/>
  <c r="AG4816" i="2"/>
  <c r="AH4816" i="2"/>
  <c r="AI4816" i="2"/>
  <c r="AJ4816" i="2"/>
  <c r="AF4817" i="2"/>
  <c r="AK4817" i="2" s="1"/>
  <c r="AG4817" i="2"/>
  <c r="AH4817" i="2"/>
  <c r="AI4817" i="2"/>
  <c r="AL4817" i="2" s="1"/>
  <c r="AJ4817" i="2"/>
  <c r="AF4818" i="2"/>
  <c r="AK4818" i="2"/>
  <c r="AG4818" i="2"/>
  <c r="AH4818" i="2"/>
  <c r="AI4818" i="2"/>
  <c r="AJ4818" i="2"/>
  <c r="AF4819" i="2"/>
  <c r="AK4819" i="2" s="1"/>
  <c r="AG4819" i="2"/>
  <c r="AH4819" i="2"/>
  <c r="AI4819" i="2"/>
  <c r="AJ4819" i="2"/>
  <c r="AF4820" i="2"/>
  <c r="AK4820" i="2"/>
  <c r="AG4820" i="2"/>
  <c r="AH4820" i="2"/>
  <c r="AI4820" i="2"/>
  <c r="AL4820" i="2" s="1"/>
  <c r="AJ4820" i="2"/>
  <c r="AF4821" i="2"/>
  <c r="AK4821" i="2" s="1"/>
  <c r="AG4821" i="2"/>
  <c r="AH4821" i="2"/>
  <c r="AL4821" i="2" s="1"/>
  <c r="AI4821" i="2"/>
  <c r="AJ4821" i="2"/>
  <c r="AF4822" i="2"/>
  <c r="AK4822" i="2" s="1"/>
  <c r="AG4822" i="2"/>
  <c r="AL4822" i="2" s="1"/>
  <c r="AH4822" i="2"/>
  <c r="AI4822" i="2"/>
  <c r="AJ4822" i="2"/>
  <c r="AF4823" i="2"/>
  <c r="AK4823" i="2" s="1"/>
  <c r="AL4823" i="2" s="1"/>
  <c r="AG4823" i="2"/>
  <c r="AH4823" i="2"/>
  <c r="AI4823" i="2"/>
  <c r="AJ4823" i="2"/>
  <c r="AF4824" i="2"/>
  <c r="AK4824" i="2" s="1"/>
  <c r="AL4824" i="2" s="1"/>
  <c r="AG4824" i="2"/>
  <c r="AH4824" i="2"/>
  <c r="AI4824" i="2"/>
  <c r="AJ4824" i="2"/>
  <c r="AF4825" i="2"/>
  <c r="AK4825" i="2"/>
  <c r="AG4825" i="2"/>
  <c r="AH4825" i="2"/>
  <c r="AI4825" i="2"/>
  <c r="AJ4825" i="2"/>
  <c r="AF4826" i="2"/>
  <c r="AK4826" i="2" s="1"/>
  <c r="AL4826" i="2" s="1"/>
  <c r="AG4826" i="2"/>
  <c r="AH4826" i="2"/>
  <c r="AI4826" i="2"/>
  <c r="AJ4826" i="2"/>
  <c r="AF4827" i="2"/>
  <c r="AK4827" i="2"/>
  <c r="AG4827" i="2"/>
  <c r="AH4827" i="2"/>
  <c r="AL4827" i="2" s="1"/>
  <c r="AI4827" i="2"/>
  <c r="AJ4827" i="2"/>
  <c r="AF4828" i="2"/>
  <c r="AK4828" i="2"/>
  <c r="AG4828" i="2"/>
  <c r="AL4828" i="2" s="1"/>
  <c r="AH4828" i="2"/>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L4832" i="2" s="1"/>
  <c r="AG4832" i="2"/>
  <c r="AH4832" i="2"/>
  <c r="AI4832" i="2"/>
  <c r="AJ4832" i="2"/>
  <c r="AF4833" i="2"/>
  <c r="AK4833" i="2" s="1"/>
  <c r="AL4833" i="2" s="1"/>
  <c r="AG4833" i="2"/>
  <c r="AH4833" i="2"/>
  <c r="AI4833" i="2"/>
  <c r="AJ4833" i="2"/>
  <c r="AF4834" i="2"/>
  <c r="AK4834" i="2"/>
  <c r="AG4834" i="2"/>
  <c r="AL4834" i="2" s="1"/>
  <c r="AH4834" i="2"/>
  <c r="AI4834" i="2"/>
  <c r="AJ4834" i="2"/>
  <c r="AF4835" i="2"/>
  <c r="AK4835" i="2"/>
  <c r="AG4835" i="2"/>
  <c r="AH4835" i="2"/>
  <c r="AI4835" i="2"/>
  <c r="AJ4835" i="2"/>
  <c r="AL4835" i="2" s="1"/>
  <c r="AF4836" i="2"/>
  <c r="AK4836" i="2" s="1"/>
  <c r="AL4836" i="2" s="1"/>
  <c r="AG4836" i="2"/>
  <c r="AH4836" i="2"/>
  <c r="AI4836" i="2"/>
  <c r="AJ4836" i="2"/>
  <c r="AF4837" i="2"/>
  <c r="AK4837" i="2"/>
  <c r="AG4837" i="2"/>
  <c r="AH4837" i="2"/>
  <c r="AI4837" i="2"/>
  <c r="AJ4837" i="2"/>
  <c r="AL4837" i="2" s="1"/>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L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L4844" i="2" s="1"/>
  <c r="AG4844" i="2"/>
  <c r="AH4844" i="2"/>
  <c r="AI4844" i="2"/>
  <c r="AJ4844" i="2"/>
  <c r="AF4845" i="2"/>
  <c r="AK4845" i="2"/>
  <c r="AL4845" i="2" s="1"/>
  <c r="AG4845" i="2"/>
  <c r="AH4845" i="2"/>
  <c r="AI4845" i="2"/>
  <c r="AJ4845" i="2"/>
  <c r="AF4846" i="2"/>
  <c r="AK4846" i="2"/>
  <c r="AG4846" i="2"/>
  <c r="AH4846" i="2"/>
  <c r="AI4846" i="2"/>
  <c r="AJ4846" i="2"/>
  <c r="AL4846" i="2"/>
  <c r="AF4847" i="2"/>
  <c r="AK4847" i="2"/>
  <c r="AG4847" i="2"/>
  <c r="AL4847" i="2" s="1"/>
  <c r="AH4847" i="2"/>
  <c r="AI4847" i="2"/>
  <c r="AJ4847" i="2"/>
  <c r="AF4848" i="2"/>
  <c r="AK4848" i="2" s="1"/>
  <c r="AG4848" i="2"/>
  <c r="AH4848" i="2"/>
  <c r="AL4848" i="2" s="1"/>
  <c r="AI4848" i="2"/>
  <c r="AJ4848" i="2"/>
  <c r="AF4849" i="2"/>
  <c r="AK4849" i="2" s="1"/>
  <c r="AG4849" i="2"/>
  <c r="AH4849" i="2"/>
  <c r="AL4849" i="2" s="1"/>
  <c r="AI4849" i="2"/>
  <c r="AJ4849" i="2"/>
  <c r="AF4850" i="2"/>
  <c r="AK4850" i="2" s="1"/>
  <c r="AG4850" i="2"/>
  <c r="AH4850" i="2"/>
  <c r="AI4850" i="2"/>
  <c r="AJ4850" i="2"/>
  <c r="AF4851" i="2"/>
  <c r="AK4851" i="2"/>
  <c r="AG4851" i="2"/>
  <c r="AH4851" i="2"/>
  <c r="AL4851" i="2" s="1"/>
  <c r="AI4851" i="2"/>
  <c r="AJ4851" i="2"/>
  <c r="AF4852" i="2"/>
  <c r="AK4852" i="2"/>
  <c r="AG4852" i="2"/>
  <c r="AL4852" i="2" s="1"/>
  <c r="AH4852" i="2"/>
  <c r="AI4852" i="2"/>
  <c r="AJ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s="1"/>
  <c r="AG4861" i="2"/>
  <c r="AL4861" i="2" s="1"/>
  <c r="AH4861" i="2"/>
  <c r="AI4861" i="2"/>
  <c r="AJ4861" i="2"/>
  <c r="AF4862" i="2"/>
  <c r="AK4862" i="2" s="1"/>
  <c r="AL4862" i="2" s="1"/>
  <c r="AG4862" i="2"/>
  <c r="AH4862" i="2"/>
  <c r="AI4862" i="2"/>
  <c r="AJ4862" i="2"/>
  <c r="AF4863" i="2"/>
  <c r="AK4863" i="2"/>
  <c r="AG4863" i="2"/>
  <c r="AH4863" i="2"/>
  <c r="AL4863" i="2" s="1"/>
  <c r="AI4863" i="2"/>
  <c r="AJ4863" i="2"/>
  <c r="AF4864" i="2"/>
  <c r="AK4864" i="2"/>
  <c r="AG4864" i="2"/>
  <c r="AL4864" i="2" s="1"/>
  <c r="AH4864" i="2"/>
  <c r="AI4864" i="2"/>
  <c r="AJ4864" i="2"/>
  <c r="AF4865" i="2"/>
  <c r="AK4865" i="2"/>
  <c r="AG4865" i="2"/>
  <c r="AH4865" i="2"/>
  <c r="AI4865" i="2"/>
  <c r="AJ4865" i="2"/>
  <c r="AL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s="1"/>
  <c r="AG4871" i="2"/>
  <c r="AH4871" i="2"/>
  <c r="AI4871" i="2"/>
  <c r="AJ4871" i="2"/>
  <c r="AF4872" i="2"/>
  <c r="AK4872" i="2"/>
  <c r="AG4872" i="2"/>
  <c r="AH4872" i="2"/>
  <c r="AI4872" i="2"/>
  <c r="AJ4872" i="2"/>
  <c r="AF4873" i="2"/>
  <c r="AK4873" i="2" s="1"/>
  <c r="AG4873" i="2"/>
  <c r="AL4873" i="2" s="1"/>
  <c r="AH4873" i="2"/>
  <c r="AI4873" i="2"/>
  <c r="AJ4873" i="2"/>
  <c r="AF4874" i="2"/>
  <c r="AK4874" i="2" s="1"/>
  <c r="AL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L4877" i="2" s="1"/>
  <c r="AI4877" i="2"/>
  <c r="AJ4877" i="2"/>
  <c r="AK4877" i="2"/>
  <c r="AF4878" i="2"/>
  <c r="AK4878" i="2"/>
  <c r="AG4878" i="2"/>
  <c r="AH4878" i="2"/>
  <c r="AL4878" i="2"/>
  <c r="AI4878" i="2"/>
  <c r="AJ4878" i="2"/>
  <c r="AF4879" i="2"/>
  <c r="AK4879" i="2"/>
  <c r="AG4879" i="2"/>
  <c r="AH4879" i="2"/>
  <c r="AI4879" i="2"/>
  <c r="AJ4879" i="2"/>
  <c r="AF4880" i="2"/>
  <c r="AK4880" i="2" s="1"/>
  <c r="AL4880" i="2" s="1"/>
  <c r="AG4880" i="2"/>
  <c r="AH4880" i="2"/>
  <c r="AI4880" i="2"/>
  <c r="AJ4880" i="2"/>
  <c r="AF4881" i="2"/>
  <c r="AK4881" i="2"/>
  <c r="AG4881" i="2"/>
  <c r="AL4881" i="2" s="1"/>
  <c r="AH4881" i="2"/>
  <c r="AI4881" i="2"/>
  <c r="AJ4881" i="2"/>
  <c r="AF4882" i="2"/>
  <c r="AK4882" i="2"/>
  <c r="AG4882" i="2"/>
  <c r="AH4882" i="2"/>
  <c r="AI4882" i="2"/>
  <c r="AL4882" i="2" s="1"/>
  <c r="AJ4882" i="2"/>
  <c r="AF4883" i="2"/>
  <c r="AK4883" i="2"/>
  <c r="AG4883" i="2"/>
  <c r="AL4883" i="2" s="1"/>
  <c r="AH4883" i="2"/>
  <c r="AI4883" i="2"/>
  <c r="AJ4883" i="2"/>
  <c r="AF4884" i="2"/>
  <c r="AK4884" i="2" s="1"/>
  <c r="AG4884" i="2"/>
  <c r="AH4884" i="2"/>
  <c r="AL4884" i="2" s="1"/>
  <c r="AI4884" i="2"/>
  <c r="AJ4884" i="2"/>
  <c r="AF4885" i="2"/>
  <c r="AK4885" i="2" s="1"/>
  <c r="AL4885" i="2" s="1"/>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L4893" i="2" s="1"/>
  <c r="AH4893" i="2"/>
  <c r="AI4893" i="2"/>
  <c r="AJ4893" i="2"/>
  <c r="AF4894" i="2"/>
  <c r="AK4894" i="2" s="1"/>
  <c r="AL4894" i="2" s="1"/>
  <c r="AG4894" i="2"/>
  <c r="AH4894" i="2"/>
  <c r="AI4894" i="2"/>
  <c r="AJ4894" i="2"/>
  <c r="AF4895" i="2"/>
  <c r="AK4895" i="2" s="1"/>
  <c r="AG4895" i="2"/>
  <c r="AH4895" i="2"/>
  <c r="AL4895" i="2" s="1"/>
  <c r="AI4895" i="2"/>
  <c r="AJ4895" i="2"/>
  <c r="AF4896" i="2"/>
  <c r="AK4896" i="2" s="1"/>
  <c r="AL4896" i="2" s="1"/>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s="1"/>
  <c r="AG4904" i="2"/>
  <c r="AH4904" i="2"/>
  <c r="AI4904" i="2"/>
  <c r="AJ4904" i="2"/>
  <c r="AF4905" i="2"/>
  <c r="AK4905" i="2"/>
  <c r="AG4905" i="2"/>
  <c r="AH4905" i="2"/>
  <c r="AI4905" i="2"/>
  <c r="AJ4905" i="2"/>
  <c r="AF4906" i="2"/>
  <c r="AK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H4909" i="2"/>
  <c r="AI4909" i="2"/>
  <c r="AJ4909" i="2"/>
  <c r="AF4910" i="2"/>
  <c r="AK4910" i="2" s="1"/>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J4913" i="2"/>
  <c r="AF4914" i="2"/>
  <c r="AK4914" i="2" s="1"/>
  <c r="AG4914" i="2"/>
  <c r="AH4914" i="2"/>
  <c r="AI4914" i="2"/>
  <c r="AJ4914" i="2"/>
  <c r="AF4915" i="2"/>
  <c r="AK4915" i="2"/>
  <c r="AG4915" i="2"/>
  <c r="AH4915" i="2"/>
  <c r="AL4915" i="2"/>
  <c r="AI4915" i="2"/>
  <c r="AJ4915" i="2"/>
  <c r="AF4916" i="2"/>
  <c r="AK4916" i="2"/>
  <c r="AG4916" i="2"/>
  <c r="AL4916" i="2" s="1"/>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L4921" i="2" s="1"/>
  <c r="AF4922" i="2"/>
  <c r="AK4922" i="2" s="1"/>
  <c r="AG4922" i="2"/>
  <c r="AL4922" i="2" s="1"/>
  <c r="AH4922" i="2"/>
  <c r="AI4922" i="2"/>
  <c r="AJ4922" i="2"/>
  <c r="AF4923" i="2"/>
  <c r="AK4923" i="2" s="1"/>
  <c r="AG4923" i="2"/>
  <c r="AH4923" i="2"/>
  <c r="AI4923" i="2"/>
  <c r="AL4923" i="2" s="1"/>
  <c r="AJ4923" i="2"/>
  <c r="AF4924" i="2"/>
  <c r="AK4924" i="2"/>
  <c r="AG4924" i="2"/>
  <c r="AL4924" i="2" s="1"/>
  <c r="AH4924" i="2"/>
  <c r="AI4924" i="2"/>
  <c r="AJ4924" i="2"/>
  <c r="AF4925" i="2"/>
  <c r="AK4925" i="2" s="1"/>
  <c r="AG4925" i="2"/>
  <c r="AH4925" i="2"/>
  <c r="AI4925" i="2"/>
  <c r="AJ4925" i="2"/>
  <c r="AF4926" i="2"/>
  <c r="AK4926" i="2" s="1"/>
  <c r="AL4926" i="2" s="1"/>
  <c r="AG4926" i="2"/>
  <c r="AH4926" i="2"/>
  <c r="AI4926" i="2"/>
  <c r="AJ4926" i="2"/>
  <c r="AF4927" i="2"/>
  <c r="AK4927" i="2" s="1"/>
  <c r="AG4927" i="2"/>
  <c r="AH4927" i="2"/>
  <c r="AI4927" i="2"/>
  <c r="AJ4927" i="2"/>
  <c r="AF4928" i="2"/>
  <c r="AK4928" i="2"/>
  <c r="AG4928" i="2"/>
  <c r="AL4928" i="2" s="1"/>
  <c r="AH4928" i="2"/>
  <c r="AI4928" i="2"/>
  <c r="AJ4928" i="2"/>
  <c r="AF4929" i="2"/>
  <c r="AK4929" i="2"/>
  <c r="AG4929" i="2"/>
  <c r="AL4929" i="2" s="1"/>
  <c r="AH4929" i="2"/>
  <c r="AI4929" i="2"/>
  <c r="AJ4929" i="2"/>
  <c r="AF4930" i="2"/>
  <c r="AK4930" i="2" s="1"/>
  <c r="AG4930" i="2"/>
  <c r="AL4930" i="2" s="1"/>
  <c r="AH4930" i="2"/>
  <c r="AI4930" i="2"/>
  <c r="AJ4930" i="2"/>
  <c r="AF4931" i="2"/>
  <c r="AK4931" i="2"/>
  <c r="AL4931" i="2" s="1"/>
  <c r="AG4931" i="2"/>
  <c r="AH4931" i="2"/>
  <c r="AI4931" i="2"/>
  <c r="AJ4931" i="2"/>
  <c r="AF4932" i="2"/>
  <c r="AK4932" i="2"/>
  <c r="AG4932" i="2"/>
  <c r="AL4932" i="2" s="1"/>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s="1"/>
  <c r="AG4936" i="2"/>
  <c r="AH4936" i="2"/>
  <c r="AI4936" i="2"/>
  <c r="AL4936" i="2" s="1"/>
  <c r="AJ4936" i="2"/>
  <c r="AF4937" i="2"/>
  <c r="AK4937" i="2"/>
  <c r="AG4937" i="2"/>
  <c r="AH4937" i="2"/>
  <c r="AI4937" i="2"/>
  <c r="AJ4937" i="2"/>
  <c r="AF4938" i="2"/>
  <c r="AK4938" i="2" s="1"/>
  <c r="AG4938" i="2"/>
  <c r="AH4938" i="2"/>
  <c r="AI4938" i="2"/>
  <c r="AJ4938" i="2"/>
  <c r="AF4939" i="2"/>
  <c r="AK4939" i="2"/>
  <c r="AG4939" i="2"/>
  <c r="AH4939" i="2"/>
  <c r="AI4939" i="2"/>
  <c r="AJ4939" i="2"/>
  <c r="AF4940" i="2"/>
  <c r="AK4940" i="2" s="1"/>
  <c r="AG4940" i="2"/>
  <c r="AH4940" i="2"/>
  <c r="AI4940" i="2"/>
  <c r="AJ4940" i="2"/>
  <c r="AF4941" i="2"/>
  <c r="AK4941" i="2" s="1"/>
  <c r="AG4941" i="2"/>
  <c r="AL4941" i="2" s="1"/>
  <c r="AH4941" i="2"/>
  <c r="AI4941" i="2"/>
  <c r="AJ4941" i="2"/>
  <c r="AF4942" i="2"/>
  <c r="AK4942" i="2" s="1"/>
  <c r="AL4942" i="2" s="1"/>
  <c r="AG4942" i="2"/>
  <c r="AH4942" i="2"/>
  <c r="AI4942" i="2"/>
  <c r="AJ4942" i="2"/>
  <c r="AF4943" i="2"/>
  <c r="AK4943" i="2" s="1"/>
  <c r="AL4943" i="2" s="1"/>
  <c r="AG4943" i="2"/>
  <c r="AH4943" i="2"/>
  <c r="AI4943" i="2"/>
  <c r="AJ4943" i="2"/>
  <c r="AF4944" i="2"/>
  <c r="AK4944" i="2"/>
  <c r="AG4944" i="2"/>
  <c r="AL4944" i="2" s="1"/>
  <c r="AH4944" i="2"/>
  <c r="AI4944" i="2"/>
  <c r="AJ4944" i="2"/>
  <c r="AF4945" i="2"/>
  <c r="AK4945" i="2" s="1"/>
  <c r="AL4945" i="2" s="1"/>
  <c r="AG4945" i="2"/>
  <c r="AH4945" i="2"/>
  <c r="AI4945" i="2"/>
  <c r="AJ4945" i="2"/>
  <c r="AF4946" i="2"/>
  <c r="AK4946" i="2"/>
  <c r="AL4946" i="2" s="1"/>
  <c r="AG4946" i="2"/>
  <c r="AH4946" i="2"/>
  <c r="AI4946" i="2"/>
  <c r="AJ4946" i="2"/>
  <c r="AF4947" i="2"/>
  <c r="AK4947" i="2"/>
  <c r="AG4947" i="2"/>
  <c r="AL4947" i="2" s="1"/>
  <c r="AH4947" i="2"/>
  <c r="AI4947" i="2"/>
  <c r="AJ4947" i="2"/>
  <c r="AF4948" i="2"/>
  <c r="AK4948" i="2"/>
  <c r="AG4948" i="2"/>
  <c r="AH4948" i="2"/>
  <c r="AI4948" i="2"/>
  <c r="AJ4948" i="2"/>
  <c r="AF4949" i="2"/>
  <c r="AK4949" i="2" s="1"/>
  <c r="AG4949" i="2"/>
  <c r="AH4949" i="2"/>
  <c r="AI4949" i="2"/>
  <c r="AJ4949" i="2"/>
  <c r="AF4950" i="2"/>
  <c r="AK4950" i="2"/>
  <c r="AG4950" i="2"/>
  <c r="AH4950" i="2"/>
  <c r="AI4950" i="2"/>
  <c r="AJ4950" i="2"/>
  <c r="AL4950" i="2" s="1"/>
  <c r="AF4951" i="2"/>
  <c r="AK4951" i="2" s="1"/>
  <c r="AG4951" i="2"/>
  <c r="AH4951" i="2"/>
  <c r="AL4951" i="2" s="1"/>
  <c r="AI4951" i="2"/>
  <c r="AJ4951" i="2"/>
  <c r="AF4952" i="2"/>
  <c r="AG4952" i="2"/>
  <c r="AH4952" i="2"/>
  <c r="AI4952" i="2"/>
  <c r="AJ4952" i="2"/>
  <c r="AK4952" i="2"/>
  <c r="AF4953" i="2"/>
  <c r="AK4953" i="2" s="1"/>
  <c r="AG4953" i="2"/>
  <c r="AH4953" i="2"/>
  <c r="AL4953" i="2" s="1"/>
  <c r="AI4953" i="2"/>
  <c r="AJ4953" i="2"/>
  <c r="AF4954" i="2"/>
  <c r="AK4954" i="2" s="1"/>
  <c r="AG4954" i="2"/>
  <c r="AH4954" i="2"/>
  <c r="AI4954" i="2"/>
  <c r="AJ4954" i="2"/>
  <c r="AF4955" i="2"/>
  <c r="AK4955" i="2" s="1"/>
  <c r="AG4955" i="2"/>
  <c r="AL4955" i="2" s="1"/>
  <c r="AH4955" i="2"/>
  <c r="AI4955" i="2"/>
  <c r="AJ4955" i="2"/>
  <c r="AF4956" i="2"/>
  <c r="AK4956" i="2"/>
  <c r="AG4956" i="2"/>
  <c r="AH4956" i="2"/>
  <c r="AI4956" i="2"/>
  <c r="AJ4956" i="2"/>
  <c r="AF4957" i="2"/>
  <c r="AK4957" i="2" s="1"/>
  <c r="AL4957" i="2" s="1"/>
  <c r="AG4957" i="2"/>
  <c r="AH4957" i="2"/>
  <c r="AI4957" i="2"/>
  <c r="AJ4957" i="2"/>
  <c r="AF4958" i="2"/>
  <c r="AK4958" i="2" s="1"/>
  <c r="AL4958" i="2" s="1"/>
  <c r="AG4958" i="2"/>
  <c r="AH4958" i="2"/>
  <c r="AI4958" i="2"/>
  <c r="AJ4958" i="2"/>
  <c r="AF4959" i="2"/>
  <c r="AK4959" i="2"/>
  <c r="AG4959" i="2"/>
  <c r="AL4959" i="2" s="1"/>
  <c r="AH4959" i="2"/>
  <c r="AI4959" i="2"/>
  <c r="AJ4959" i="2"/>
  <c r="AF4960" i="2"/>
  <c r="AK4960" i="2" s="1"/>
  <c r="AL4960" i="2" s="1"/>
  <c r="AG4960" i="2"/>
  <c r="AH4960" i="2"/>
  <c r="AI4960" i="2"/>
  <c r="AJ4960" i="2"/>
  <c r="AF4961" i="2"/>
  <c r="AK4961" i="2"/>
  <c r="AG4961" i="2"/>
  <c r="AL4961" i="2" s="1"/>
  <c r="AH4961" i="2"/>
  <c r="AI4961" i="2"/>
  <c r="AJ4961" i="2"/>
  <c r="AF4962" i="2"/>
  <c r="AK4962" i="2" s="1"/>
  <c r="AG4962" i="2"/>
  <c r="AH4962" i="2"/>
  <c r="AI4962" i="2"/>
  <c r="AJ4962" i="2"/>
  <c r="AF4963" i="2"/>
  <c r="AK4963" i="2"/>
  <c r="AL4963" i="2" s="1"/>
  <c r="AG4963" i="2"/>
  <c r="AH4963" i="2"/>
  <c r="AI4963" i="2"/>
  <c r="AJ4963" i="2"/>
  <c r="AF4964" i="2"/>
  <c r="AK4964" i="2"/>
  <c r="AG4964" i="2"/>
  <c r="AH4964" i="2"/>
  <c r="AI4964" i="2"/>
  <c r="AJ4964" i="2"/>
  <c r="AL4964" i="2" s="1"/>
  <c r="AF4965" i="2"/>
  <c r="AK4965" i="2" s="1"/>
  <c r="AL4965" i="2" s="1"/>
  <c r="AG4965" i="2"/>
  <c r="AH4965" i="2"/>
  <c r="AI4965" i="2"/>
  <c r="AJ4965" i="2"/>
  <c r="AF4966" i="2"/>
  <c r="AK4966" i="2" s="1"/>
  <c r="AG4966" i="2"/>
  <c r="AH4966" i="2"/>
  <c r="AI4966" i="2"/>
  <c r="AJ4966" i="2"/>
  <c r="AL4966" i="2" s="1"/>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s="1"/>
  <c r="AL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s="1"/>
  <c r="AG4977" i="2"/>
  <c r="AH4977" i="2"/>
  <c r="AI4977" i="2"/>
  <c r="AJ4977" i="2"/>
  <c r="AF4978" i="2"/>
  <c r="AK4978" i="2" s="1"/>
  <c r="AG4978" i="2"/>
  <c r="AH4978" i="2"/>
  <c r="AL4978" i="2" s="1"/>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c r="AG4986" i="2"/>
  <c r="AH4986" i="2"/>
  <c r="AI4986" i="2"/>
  <c r="AJ4986" i="2"/>
  <c r="AL4986" i="2" s="1"/>
  <c r="AF4987" i="2"/>
  <c r="AK4987" i="2"/>
  <c r="AG4987" i="2"/>
  <c r="AH4987" i="2"/>
  <c r="AI4987" i="2"/>
  <c r="AJ4987" i="2"/>
  <c r="AL4987" i="2"/>
  <c r="AF4988" i="2"/>
  <c r="AK4988" i="2" s="1"/>
  <c r="AL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L4995" i="2" s="1"/>
  <c r="AJ4995" i="2"/>
  <c r="AF4996" i="2"/>
  <c r="AK4996" i="2"/>
  <c r="AG4996" i="2"/>
  <c r="AL4996" i="2" s="1"/>
  <c r="AH4996" i="2"/>
  <c r="AI4996" i="2"/>
  <c r="AJ4996" i="2"/>
  <c r="AF4997" i="2"/>
  <c r="AK4997" i="2" s="1"/>
  <c r="AG4997" i="2"/>
  <c r="AH4997" i="2"/>
  <c r="AL4997" i="2" s="1"/>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31" i="2"/>
  <c r="AL5035" i="2"/>
  <c r="AL5039" i="2"/>
  <c r="AL5043" i="2"/>
  <c r="AL5047" i="2"/>
  <c r="AL5051" i="2"/>
  <c r="AL5063" i="2"/>
  <c r="AL5067" i="2"/>
  <c r="AL5071" i="2"/>
  <c r="AL5075" i="2"/>
  <c r="AL5079" i="2"/>
  <c r="AL5083" i="2"/>
  <c r="AL5087" i="2"/>
  <c r="AL5091" i="2"/>
  <c r="AL5095" i="2"/>
  <c r="AL5099" i="2"/>
  <c r="AL5103" i="2"/>
  <c r="AL5107" i="2"/>
  <c r="AL5228" i="2"/>
  <c r="AL5240" i="2"/>
  <c r="AL5244" i="2"/>
  <c r="AL5248" i="2"/>
  <c r="AL5252" i="2"/>
  <c r="AL5264" i="2"/>
  <c r="AL5268" i="2"/>
  <c r="AL5272" i="2"/>
  <c r="AL5276"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696" i="2"/>
  <c r="AL3664" i="2"/>
  <c r="AL3651" i="2"/>
  <c r="AL3632" i="2"/>
  <c r="AL3600" i="2"/>
  <c r="AL3587" i="2"/>
  <c r="AL3568" i="2"/>
  <c r="AL3536" i="2"/>
  <c r="AL3512" i="2"/>
  <c r="AL3459" i="2"/>
  <c r="AL3448" i="2"/>
  <c r="AL3395" i="2"/>
  <c r="AL3384" i="2"/>
  <c r="AL3331" i="2"/>
  <c r="AL3267" i="2"/>
  <c r="AL3256" i="2"/>
  <c r="AL3203" i="2"/>
  <c r="AL3192" i="2"/>
  <c r="AL69" i="2"/>
  <c r="AL3671" i="2"/>
  <c r="AL3639" i="2"/>
  <c r="AL3607" i="2"/>
  <c r="AL3575" i="2"/>
  <c r="AL3543" i="2"/>
  <c r="AL3495" i="2"/>
  <c r="AL3483" i="2"/>
  <c r="AL3472" i="2"/>
  <c r="AL3419" i="2"/>
  <c r="AL3408" i="2"/>
  <c r="AL3402" i="2"/>
  <c r="AL3367" i="2"/>
  <c r="AL3338" i="2"/>
  <c r="AL3303" i="2"/>
  <c r="AL3291"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35" i="2"/>
  <c r="AL3323" i="2"/>
  <c r="AL3271" i="2"/>
  <c r="AL3259" i="2"/>
  <c r="AL3248" i="2"/>
  <c r="AL3242" i="2"/>
  <c r="AL3207" i="2"/>
  <c r="AL3195" i="2"/>
  <c r="AL3184"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58" i="2"/>
  <c r="AL3423" i="2"/>
  <c r="AL3411" i="2"/>
  <c r="AL3394" i="2"/>
  <c r="AL3359" i="2"/>
  <c r="AL3347" i="2"/>
  <c r="AL3295" i="2"/>
  <c r="AL3283" i="2"/>
  <c r="AL3266" i="2"/>
  <c r="AL3231" i="2"/>
  <c r="AL3219"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25" i="2"/>
  <c r="AL3417" i="2"/>
  <c r="AL3409" i="2"/>
  <c r="AL3401" i="2"/>
  <c r="AL3393"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29" i="2"/>
  <c r="AL2721" i="2"/>
  <c r="AL2713" i="2"/>
  <c r="AL2697" i="2"/>
  <c r="AL2681"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32" i="2"/>
  <c r="AL2724" i="2"/>
  <c r="AL2716" i="2"/>
  <c r="AL2708" i="2"/>
  <c r="AL2700" i="2"/>
  <c r="AL2692" i="2"/>
  <c r="AL2684" i="2"/>
  <c r="AL2676" i="2"/>
  <c r="AL2660" i="2"/>
  <c r="AL2652" i="2"/>
  <c r="AL2644"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21" i="2"/>
  <c r="AL3413" i="2"/>
  <c r="AL3405" i="2"/>
  <c r="AL3397" i="2"/>
  <c r="AL3389" i="2"/>
  <c r="AL3381" i="2"/>
  <c r="AL3373" i="2"/>
  <c r="AL3365" i="2"/>
  <c r="AL3357" i="2"/>
  <c r="AL3349" i="2"/>
  <c r="AL3341" i="2"/>
  <c r="AL3325" i="2"/>
  <c r="AL3293" i="2"/>
  <c r="AL3277" i="2"/>
  <c r="AL3269" i="2"/>
  <c r="AL3261" i="2"/>
  <c r="AL3245" i="2"/>
  <c r="AL3237" i="2"/>
  <c r="AL3229" i="2"/>
  <c r="AL3213" i="2"/>
  <c r="AL3205" i="2"/>
  <c r="AL3197" i="2"/>
  <c r="AL3181" i="2"/>
  <c r="AL3173" i="2"/>
  <c r="AL3157" i="2"/>
  <c r="AL3149"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13" i="2"/>
  <c r="AL2805" i="2"/>
  <c r="AL2797" i="2"/>
  <c r="AL2789" i="2"/>
  <c r="AL2781" i="2"/>
  <c r="AL2773" i="2"/>
  <c r="AL2765" i="2"/>
  <c r="AL2757" i="2"/>
  <c r="AL2749" i="2"/>
  <c r="AL2741" i="2"/>
  <c r="AL2733" i="2"/>
  <c r="AL2725" i="2"/>
  <c r="AL2717" i="2"/>
  <c r="AL2709" i="2"/>
  <c r="AL2701" i="2"/>
  <c r="AL2693" i="2"/>
  <c r="AL2685" i="2"/>
  <c r="AL2677" i="2"/>
  <c r="AL2669"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0" i="2"/>
  <c r="AL3502" i="2"/>
  <c r="AL3486" i="2"/>
  <c r="AL3470" i="2"/>
  <c r="AL3454" i="2"/>
  <c r="AL3446" i="2"/>
  <c r="AL3438" i="2"/>
  <c r="AL3422" i="2"/>
  <c r="AL3406" i="2"/>
  <c r="AL3398" i="2"/>
  <c r="AL3390" i="2"/>
  <c r="AL3374" i="2"/>
  <c r="AL3358" i="2"/>
  <c r="AL3350" i="2"/>
  <c r="AL3342" i="2"/>
  <c r="AL3334" i="2"/>
  <c r="AL3326" i="2"/>
  <c r="AL3294" i="2"/>
  <c r="AL3278" i="2"/>
  <c r="AL3270" i="2"/>
  <c r="AL3262" i="2"/>
  <c r="AL3246" i="2"/>
  <c r="AL3238" i="2"/>
  <c r="AL3222" i="2"/>
  <c r="AL3206" i="2"/>
  <c r="AL3190" i="2"/>
  <c r="AL3182" i="2"/>
  <c r="AL3166" i="2"/>
  <c r="AL3142" i="2"/>
  <c r="AL3134" i="2"/>
  <c r="AL3126" i="2"/>
  <c r="AL3118" i="2"/>
  <c r="AL3110" i="2"/>
  <c r="AL3102" i="2"/>
  <c r="AL3094" i="2"/>
  <c r="AL3086" i="2"/>
  <c r="AL3078" i="2"/>
  <c r="AL3070" i="2"/>
  <c r="AL3062" i="2"/>
  <c r="AL3054" i="2"/>
  <c r="AL3046" i="2"/>
  <c r="AL3038" i="2"/>
  <c r="AL3030" i="2"/>
  <c r="AL3022"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394" i="2"/>
  <c r="AL2386" i="2"/>
  <c r="AL2374" i="2"/>
  <c r="AL2369" i="2"/>
  <c r="AL2363" i="2"/>
  <c r="AL2358" i="2"/>
  <c r="AL2347" i="2"/>
  <c r="AL2342" i="2"/>
  <c r="AL2337" i="2"/>
  <c r="AL2331" i="2"/>
  <c r="AL2326" i="2"/>
  <c r="AL2321" i="2"/>
  <c r="AL2315" i="2"/>
  <c r="AL2310" i="2"/>
  <c r="AL2305" i="2"/>
  <c r="AL2299" i="2"/>
  <c r="AL2294" i="2"/>
  <c r="AL2289" i="2"/>
  <c r="AL2283" i="2"/>
  <c r="AL2278" i="2"/>
  <c r="AL2267"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5" i="2"/>
  <c r="AL111" i="2"/>
  <c r="AL107" i="2"/>
  <c r="AL103" i="2"/>
  <c r="AL99"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17" i="2"/>
  <c r="AL113" i="2"/>
  <c r="AL109" i="2"/>
  <c r="AL105" i="2"/>
  <c r="AL101" i="2"/>
  <c r="AL93" i="2"/>
  <c r="AL83" i="2"/>
  <c r="AL158" i="2"/>
  <c r="AL154" i="2"/>
  <c r="AL150" i="2"/>
  <c r="AL146" i="2"/>
  <c r="AL142" i="2"/>
  <c r="AL138" i="2"/>
  <c r="AL134" i="2"/>
  <c r="AL130" i="2"/>
  <c r="AL126" i="2"/>
  <c r="AL122" i="2"/>
  <c r="AL118" i="2"/>
  <c r="AL114" i="2"/>
  <c r="AL110" i="2"/>
  <c r="AL106" i="2"/>
  <c r="AL102" i="2"/>
  <c r="AL98" i="2"/>
  <c r="AL94" i="2"/>
  <c r="AL74" i="2"/>
  <c r="AL86" i="2"/>
  <c r="AL78" i="2"/>
  <c r="AL70" i="2"/>
  <c r="AL87" i="2"/>
  <c r="AL79" i="2"/>
  <c r="AL89" i="2"/>
  <c r="AL81" i="2"/>
  <c r="AL65" i="2"/>
  <c r="AM65" i="2" s="1"/>
  <c r="AL75" i="2"/>
  <c r="AL67" i="2"/>
  <c r="AL4796" i="2"/>
  <c r="AL4551" i="2"/>
  <c r="AL4575" i="2"/>
  <c r="AL4512" i="2"/>
  <c r="AL4563" i="2"/>
  <c r="AL4541" i="2"/>
  <c r="AL4509" i="2"/>
  <c r="AL4665" i="2"/>
  <c r="AL4553" i="2"/>
  <c r="AL4268" i="2"/>
  <c r="AL4200" i="2"/>
  <c r="AL4136" i="2"/>
  <c r="AL4092" i="2"/>
  <c r="AL4085" i="2"/>
  <c r="AL4062" i="2"/>
  <c r="AL4395" i="2"/>
  <c r="AL4337" i="2"/>
  <c r="AL4368" i="2"/>
  <c r="AL4341" i="2"/>
  <c r="AL4308" i="2"/>
  <c r="AL4263" i="2"/>
  <c r="AL4239" i="2"/>
  <c r="AL4235" i="2"/>
  <c r="AL4197" i="2"/>
  <c r="AL4175" i="2"/>
  <c r="AL4140" i="2"/>
  <c r="AL4133" i="2"/>
  <c r="AL4120" i="2"/>
  <c r="AL4107" i="2"/>
  <c r="AL4076" i="2"/>
  <c r="AL4069" i="2"/>
  <c r="AL4064" i="2"/>
  <c r="AL4059" i="2"/>
  <c r="AL4032" i="2"/>
  <c r="AL4027" i="2"/>
  <c r="AL4012" i="2"/>
  <c r="AL3996" i="2"/>
  <c r="AL3980" i="2"/>
  <c r="AL4339" i="2"/>
  <c r="AL4312" i="2"/>
  <c r="AL4201" i="2"/>
  <c r="AL4144" i="2"/>
  <c r="AL4137" i="2"/>
  <c r="AL4080" i="2"/>
  <c r="AL4067" i="2"/>
  <c r="AL4060" i="2"/>
  <c r="AL4049" i="2"/>
  <c r="AL4028" i="2"/>
  <c r="AL4392" i="2"/>
  <c r="AL4357" i="2"/>
  <c r="AL4316" i="2"/>
  <c r="AL4305" i="2"/>
  <c r="AL4284" i="2"/>
  <c r="AL4273" i="2"/>
  <c r="AL4245"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434" i="2"/>
  <c r="AL4829" i="2"/>
  <c r="AL4818" i="2"/>
  <c r="AL4393" i="2"/>
  <c r="AL4272" i="2"/>
  <c r="AL4215" i="2"/>
  <c r="AL4169" i="2"/>
  <c r="AL4157" i="2"/>
  <c r="AL4109" i="2"/>
  <c r="AL4086" i="2"/>
  <c r="AL4051" i="2"/>
  <c r="AL3935" i="2"/>
  <c r="AL3897" i="2"/>
  <c r="AL3803" i="2"/>
  <c r="AL3776" i="2"/>
  <c r="AL4221" i="2"/>
  <c r="AL4135" i="2"/>
  <c r="AL3862" i="2"/>
  <c r="AL4126"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324" i="2"/>
  <c r="AL4278" i="2"/>
  <c r="AL4225" i="2"/>
  <c r="AL4141" i="2"/>
  <c r="AL4900" i="2"/>
  <c r="AL4816" i="2"/>
  <c r="AL4813" i="2"/>
  <c r="AL4599" i="2"/>
  <c r="AL4433" i="2"/>
  <c r="AL4303" i="2"/>
  <c r="AL3843" i="2"/>
  <c r="AL4528" i="2"/>
  <c r="AL4501" i="2"/>
  <c r="AL4493" i="2"/>
  <c r="AL4738" i="2"/>
  <c r="AL4734" i="2"/>
  <c r="AL4581" i="2"/>
  <c r="AL4478" i="2"/>
  <c r="AL4454" i="2"/>
  <c r="AL4345" i="2"/>
  <c r="AL4007" i="2"/>
  <c r="AL3986" i="2"/>
  <c r="AL4798" i="2"/>
  <c r="AL4736" i="2"/>
  <c r="AL4684" i="2"/>
  <c r="AL4571" i="2"/>
  <c r="AL4549" i="2"/>
  <c r="AL4365" i="2"/>
  <c r="AL4330" i="2"/>
  <c r="AL4166" i="2"/>
  <c r="AL4142" i="2"/>
  <c r="AL3824" i="2"/>
  <c r="AL3659" i="2"/>
  <c r="AL4386" i="2"/>
  <c r="AL4359" i="2"/>
  <c r="AL4241" i="2"/>
  <c r="AL4238" i="2"/>
  <c r="AL4094" i="2"/>
  <c r="AL4017" i="2"/>
  <c r="AL3855" i="2"/>
  <c r="AL3808" i="2"/>
  <c r="AL4428" i="2"/>
  <c r="AL4029" i="2"/>
  <c r="AL3887" i="2"/>
  <c r="AL3736" i="2"/>
  <c r="AL4343" i="2"/>
  <c r="AL4261" i="2"/>
  <c r="AL4091" i="2"/>
  <c r="AL4033" i="2"/>
  <c r="AL3991" i="2"/>
  <c r="AL3904" i="2"/>
  <c r="AL3869" i="2"/>
  <c r="AL4202" i="2"/>
  <c r="AL4106" i="2"/>
  <c r="AL3944" i="2"/>
  <c r="AL4410" i="2"/>
  <c r="AL4348" i="2"/>
  <c r="AL4344" i="2"/>
  <c r="AL4317" i="2"/>
  <c r="AL4206" i="2"/>
  <c r="AL4189" i="2"/>
  <c r="AL4150" i="2"/>
  <c r="AL4127" i="2"/>
  <c r="AL4003" i="2"/>
  <c r="AL3967" i="2"/>
  <c r="AL3934" i="2"/>
  <c r="AL3918" i="2"/>
  <c r="AL4191" i="2"/>
  <c r="AL4187" i="2"/>
  <c r="AL4164" i="2"/>
  <c r="AL4160"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63" i="2"/>
  <c r="AL4638" i="2"/>
  <c r="AL4609" i="2"/>
  <c r="AL4587" i="2"/>
  <c r="AL4520" i="2"/>
  <c r="AL4388" i="2"/>
  <c r="AL4396" i="2"/>
  <c r="AL4952" i="2"/>
  <c r="AL4807" i="2"/>
  <c r="AL4668" i="2"/>
  <c r="AL4591" i="2"/>
  <c r="AL4332" i="2"/>
  <c r="AL4518" i="2"/>
  <c r="AL4487" i="2"/>
  <c r="AL4334" i="2"/>
  <c r="AL4233" i="2"/>
  <c r="AL4670" i="2"/>
  <c r="AL4802" i="2"/>
  <c r="AL4516" i="2"/>
  <c r="AL4503" i="2"/>
  <c r="AL4346" i="2"/>
  <c r="AL4443" i="2"/>
  <c r="AL4253" i="2"/>
  <c r="AL4171" i="2"/>
  <c r="AL4154" i="2"/>
  <c r="AL4132" i="2"/>
  <c r="AL4093" i="2"/>
  <c r="AL3985" i="2"/>
  <c r="AL397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05" i="2"/>
  <c r="AL3997" i="2"/>
  <c r="AL3882" i="2"/>
  <c r="AL3876" i="2"/>
  <c r="AL3859" i="2"/>
  <c r="AL3791" i="2"/>
  <c r="AL3608" i="2"/>
  <c r="AL4384" i="2"/>
  <c r="AL4249" i="2"/>
  <c r="AL4237" i="2"/>
  <c r="AL4231" i="2"/>
  <c r="AL4103" i="2"/>
  <c r="AL4078" i="2"/>
  <c r="AL4008" i="2"/>
  <c r="AL3905" i="2"/>
  <c r="AL3870" i="2"/>
  <c r="AL3823" i="2"/>
  <c r="AL3794" i="2"/>
  <c r="AL4377" i="2"/>
  <c r="AL3564"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649" i="2"/>
  <c r="AL4597" i="2"/>
  <c r="AL4704" i="2"/>
  <c r="AL4579" i="2"/>
  <c r="AL4973" i="2"/>
  <c r="AL4853" i="2"/>
  <c r="AL4892" i="2"/>
  <c r="AL4780" i="2"/>
  <c r="AL4545" i="2"/>
  <c r="AL4418" i="2"/>
  <c r="AL4298" i="2"/>
  <c r="AL4143" i="2"/>
  <c r="AL4083" i="2"/>
  <c r="AL4035" i="2"/>
  <c r="AL3999" i="2"/>
  <c r="AL3979" i="2"/>
  <c r="AL3969" i="2"/>
  <c r="AL3798" i="2"/>
  <c r="AL3744" i="2"/>
  <c r="AL3546" i="2"/>
  <c r="AL3523" i="2"/>
  <c r="AL4485" i="2"/>
  <c r="AL4366" i="2"/>
  <c r="AL4321" i="2"/>
  <c r="AL4167" i="2"/>
  <c r="AL4110" i="2"/>
  <c r="AL4096" i="2"/>
  <c r="AL4328" i="2"/>
  <c r="AL4217" i="2"/>
  <c r="AL4030" i="2"/>
  <c r="AL3880" i="2"/>
  <c r="AL3877" i="2"/>
  <c r="AL3787" i="2"/>
  <c r="AL3563" i="2"/>
  <c r="AL4399" i="2"/>
  <c r="AL4352" i="2"/>
  <c r="AL4134" i="2"/>
  <c r="AL4053" i="2"/>
  <c r="AL4037" i="2"/>
  <c r="AL3957"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989" i="2"/>
  <c r="AL4856" i="2"/>
  <c r="AL4556" i="2"/>
  <c r="AL4515" i="2"/>
  <c r="AL4948" i="2"/>
  <c r="AL4903" i="2"/>
  <c r="AL4860" i="2"/>
  <c r="AL4772" i="2"/>
  <c r="AL4937" i="2"/>
  <c r="AL4913" i="2"/>
  <c r="AL4825" i="2"/>
  <c r="AL4766" i="2"/>
  <c r="AL4751" i="2"/>
  <c r="AL4506" i="2"/>
  <c r="AL4452" i="2"/>
  <c r="AL4969" i="2"/>
  <c r="AL4911" i="2"/>
  <c r="AL4980" i="2"/>
  <c r="AL4956" i="2"/>
  <c r="AL4548" i="2"/>
  <c r="AL4522" i="2"/>
  <c r="AL4935" i="2"/>
  <c r="AL4905" i="2"/>
  <c r="AL4879" i="2"/>
  <c r="AL4770" i="2"/>
  <c r="AL4689" i="2"/>
  <c r="AL4659" i="2"/>
  <c r="AL4645" i="2"/>
  <c r="AL4650" i="2"/>
  <c r="AL4554" i="2"/>
  <c r="AL4525" i="2"/>
  <c r="AL4498" i="2"/>
  <c r="AL4412" i="2"/>
  <c r="AL4394" i="2"/>
  <c r="AL4375" i="2"/>
  <c r="AL4632" i="2"/>
  <c r="AL4543" i="2"/>
  <c r="AL4370" i="2"/>
  <c r="AL4565" i="2"/>
  <c r="AL4500" i="2"/>
  <c r="AL4446" i="2"/>
  <c r="AL4382" i="2"/>
  <c r="AL4367" i="2"/>
  <c r="AL4362" i="2"/>
  <c r="AL4236" i="2"/>
  <c r="AL4125" i="2"/>
  <c r="AL4643" i="2"/>
  <c r="AL4442" i="2"/>
  <c r="AL4416" i="2"/>
  <c r="AL4413" i="2"/>
  <c r="AL4288" i="2"/>
  <c r="AL4566" i="2"/>
  <c r="AL4504" i="2"/>
  <c r="AL4240" i="2"/>
  <c r="AL4470" i="2"/>
  <c r="AL4100" i="2"/>
  <c r="AL4486" i="2"/>
  <c r="AL4479" i="2"/>
  <c r="AL4440" i="2"/>
  <c r="AL4414" i="2"/>
  <c r="AL4411" i="2"/>
  <c r="AL4302" i="2"/>
  <c r="AL4290" i="2"/>
  <c r="AL4210" i="2"/>
  <c r="AL4112" i="2"/>
  <c r="AL4246" i="2"/>
  <c r="AL4212" i="2"/>
  <c r="AL4079" i="2"/>
  <c r="AL4292" i="2"/>
  <c r="AL4276"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8" i="2" l="1"/>
  <c r="AM68" i="2" s="1"/>
  <c r="AL64" i="2"/>
  <c r="AM64" i="2" s="1"/>
  <c r="AL4949" i="2"/>
  <c r="AL4938" i="2"/>
  <c r="AL4871" i="2"/>
  <c r="AL4839" i="2"/>
  <c r="AL4819" i="2"/>
  <c r="AL4806" i="2"/>
  <c r="AL4940" i="2"/>
  <c r="AL4925" i="2"/>
  <c r="AL4850" i="2"/>
  <c r="AL4793" i="2"/>
  <c r="AL4910" i="2"/>
  <c r="AL4830" i="2"/>
  <c r="AL4775" i="2"/>
  <c r="AL4674" i="2"/>
  <c r="AL4671" i="2"/>
  <c r="AL4613" i="2"/>
  <c r="AL4521" i="2"/>
  <c r="AL4990" i="2"/>
  <c r="AL4962" i="2"/>
  <c r="AL4927" i="2"/>
  <c r="AL4914" i="2"/>
  <c r="AL4875" i="2"/>
  <c r="AL4768" i="2"/>
  <c r="AL4977" i="2"/>
  <c r="AL4909" i="2"/>
  <c r="AL4691" i="2"/>
  <c r="AL4979" i="2"/>
  <c r="AL4870" i="2"/>
  <c r="AL4838" i="2"/>
  <c r="AL4805" i="2"/>
  <c r="AL4711" i="2"/>
  <c r="AL4686" i="2"/>
  <c r="AL4682" i="2"/>
  <c r="AL4677" i="2"/>
  <c r="AL4644" i="2"/>
  <c r="AL4621" i="2"/>
  <c r="AL4998" i="2"/>
  <c r="AL4981" i="2"/>
  <c r="AL4904" i="2"/>
  <c r="AL4857" i="2"/>
  <c r="AL4767" i="2"/>
  <c r="AL4722" i="2"/>
  <c r="AL4697" i="2"/>
  <c r="AL4642" i="2"/>
  <c r="AL4954" i="2"/>
  <c r="AL4906" i="2"/>
  <c r="AL4859" i="2"/>
  <c r="AL4831" i="2"/>
  <c r="AL4787" i="2"/>
  <c r="AL4746" i="2"/>
  <c r="AL4688" i="2"/>
  <c r="AL4679" i="2"/>
  <c r="AL4646" i="2"/>
  <c r="AL4612" i="2"/>
  <c r="AL4754" i="2"/>
  <c r="AL4703" i="2"/>
  <c r="AL4660" i="2"/>
  <c r="AL4627" i="2"/>
  <c r="AL4598" i="2"/>
  <c r="AL4562" i="2"/>
  <c r="AL4508" i="2"/>
  <c r="AL4502" i="2"/>
  <c r="AL4476" i="2"/>
  <c r="AL4474" i="2"/>
  <c r="AL4376" i="2"/>
  <c r="AL4372" i="2"/>
  <c r="AL4318" i="2"/>
  <c r="AL4669" i="2"/>
  <c r="AL4510" i="2"/>
  <c r="AL4361" i="2"/>
  <c r="AL4295" i="2"/>
  <c r="AL4260" i="2"/>
  <c r="AL4532" i="2"/>
  <c r="AL4480" i="2"/>
  <c r="AL4422" i="2"/>
  <c r="AL4761" i="2"/>
  <c r="AL4634" i="2"/>
  <c r="AL4538" i="2"/>
  <c r="AL4725" i="2"/>
  <c r="AL4546" i="2"/>
  <c r="AL4593" i="2"/>
  <c r="AL4403" i="2"/>
  <c r="AL4311" i="2"/>
  <c r="AL4257" i="2"/>
  <c r="AL4244" i="2"/>
  <c r="AL3976" i="2"/>
  <c r="AL4693" i="2"/>
  <c r="AL4616" i="2"/>
  <c r="AL4405" i="2"/>
  <c r="AL4700" i="2"/>
  <c r="AL4687" i="2"/>
  <c r="AL4527" i="2"/>
  <c r="AL4513" i="2"/>
  <c r="AL4477" i="2"/>
  <c r="AL4471" i="2"/>
  <c r="AL4460" i="2"/>
  <c r="AL4432" i="2"/>
  <c r="AL4415" i="2"/>
  <c r="AL4274" i="2"/>
  <c r="AL4713" i="2"/>
  <c r="AL4531" i="2"/>
  <c r="AL4523" i="2"/>
  <c r="AL4438" i="2"/>
  <c r="AL4323" i="2"/>
  <c r="AL4256" i="2"/>
  <c r="AL4760" i="2"/>
  <c r="AL4631" i="2"/>
  <c r="AL4539" i="2"/>
  <c r="AL4423" i="2"/>
  <c r="AL4421" i="2"/>
  <c r="AL4347" i="2"/>
  <c r="AL4289" i="2"/>
  <c r="AL4192" i="2"/>
  <c r="AL4046" i="2"/>
  <c r="AL3928" i="2"/>
  <c r="AL4536" i="2"/>
  <c r="AL4507" i="2"/>
  <c r="AL4356" i="2"/>
  <c r="AL4194" i="2"/>
  <c r="AL3832" i="2"/>
  <c r="AL3761" i="2"/>
  <c r="AL3439" i="2"/>
  <c r="AL4122" i="2"/>
  <c r="AL3790" i="2"/>
  <c r="AL3721" i="2"/>
  <c r="AL4364" i="2"/>
  <c r="AL4280" i="2"/>
  <c r="AL4208" i="2"/>
  <c r="AL3743" i="2"/>
  <c r="AL3517" i="2"/>
  <c r="AL3443" i="2"/>
  <c r="AL3378" i="2"/>
  <c r="AL3255" i="2"/>
  <c r="AL3234" i="2"/>
  <c r="AL4547" i="2"/>
  <c r="AL3716" i="2"/>
  <c r="AL3467" i="2"/>
  <c r="AL4514" i="2"/>
  <c r="AL4424" i="2"/>
  <c r="AL3760" i="2"/>
  <c r="AL3613" i="2"/>
  <c r="AL4390" i="2"/>
  <c r="AL4320" i="2"/>
  <c r="AL4117" i="2"/>
  <c r="AL4097" i="2"/>
  <c r="AL3993" i="2"/>
  <c r="AL3900" i="2"/>
  <c r="AL3710" i="2"/>
  <c r="AL3683" i="2"/>
  <c r="AL3611" i="2"/>
  <c r="AL4269" i="2"/>
  <c r="AL4222" i="2"/>
  <c r="AL4213" i="2"/>
  <c r="AL4462" i="2"/>
  <c r="AL4406" i="2"/>
  <c r="AL4043" i="2"/>
  <c r="AL3955" i="2"/>
  <c r="AL3771" i="2"/>
  <c r="AL4147" i="2"/>
  <c r="AL3947" i="2"/>
  <c r="AL3899" i="2"/>
  <c r="AL3804" i="2"/>
  <c r="AL3493" i="2"/>
  <c r="AL3464" i="2"/>
  <c r="AL3284" i="2"/>
  <c r="AL3272" i="2"/>
  <c r="AL2454" i="2"/>
  <c r="AL3158" i="2"/>
  <c r="AL3018" i="2"/>
  <c r="AL2923" i="2"/>
  <c r="AL2355" i="2"/>
  <c r="AL3415" i="2"/>
  <c r="AL3316" i="2"/>
  <c r="AL3310" i="2"/>
  <c r="AL3212" i="2"/>
  <c r="AL2827" i="2"/>
  <c r="AL3285" i="2"/>
  <c r="AL3468" i="2"/>
  <c r="AL2835" i="2"/>
  <c r="AL3382" i="2"/>
  <c r="AL3330" i="2"/>
  <c r="AL2875" i="2"/>
  <c r="AL2851" i="2"/>
  <c r="AL2406" i="2"/>
  <c r="AL2767" i="2"/>
  <c r="AL2545" i="2"/>
  <c r="AL2530" i="2"/>
  <c r="AL2462" i="2"/>
  <c r="AL2414" i="2"/>
  <c r="AL2679" i="2"/>
  <c r="AL2263" i="2"/>
  <c r="AL2637" i="2"/>
  <c r="AL2624" i="2"/>
  <c r="AL2334" i="2"/>
  <c r="AL2314" i="2"/>
  <c r="AL2191" i="2"/>
  <c r="AL2641" i="2"/>
  <c r="AL2544" i="2"/>
  <c r="AL2476" i="2"/>
  <c r="AL2379" i="2"/>
  <c r="AL2364" i="2"/>
  <c r="AL2282" i="2"/>
  <c r="AL2727" i="2"/>
  <c r="AL2705" i="2"/>
  <c r="AL2557" i="2"/>
  <c r="AL2366" i="2"/>
  <c r="AL2357" i="2"/>
  <c r="AL2353" i="2"/>
  <c r="AL2320" i="2"/>
  <c r="AL1883" i="2"/>
  <c r="AL1776" i="2"/>
  <c r="AL1455" i="2"/>
  <c r="AL2066" i="2"/>
  <c r="AL1633" i="2"/>
  <c r="AL1327" i="2"/>
  <c r="AL1001" i="2"/>
  <c r="AL950" i="2"/>
  <c r="AL1486" i="2"/>
  <c r="AL1649" i="2"/>
  <c r="AL1173" i="2"/>
  <c r="AL1509" i="2"/>
  <c r="AL1411" i="2"/>
  <c r="AL1224" i="2"/>
  <c r="AL1308" i="2"/>
  <c r="AL1103" i="2"/>
  <c r="AL525" i="2"/>
  <c r="AL704" i="2"/>
  <c r="AL324" i="2"/>
  <c r="AL292" i="2"/>
  <c r="AL253" i="2"/>
  <c r="AL168" i="2"/>
  <c r="AL5057" i="2"/>
  <c r="AL5131" i="2"/>
  <c r="AL5227" i="2"/>
  <c r="AL163" i="2"/>
  <c r="AL22" i="2"/>
  <c r="AM22" i="2" s="1"/>
  <c r="AL63" i="2"/>
  <c r="AM63" i="2" s="1"/>
  <c r="AL62" i="2"/>
  <c r="AM62" i="2" s="1"/>
  <c r="AL61" i="2"/>
  <c r="AM61" i="2" s="1"/>
  <c r="AL60" i="2"/>
  <c r="AM60" i="2" s="1"/>
  <c r="AL59" i="2"/>
  <c r="AM59" i="2" s="1"/>
  <c r="AL58" i="2"/>
  <c r="AM58" i="2" s="1"/>
  <c r="AL57" i="2"/>
  <c r="AM57" i="2" s="1"/>
  <c r="AL56" i="2"/>
  <c r="AM56" i="2" s="1"/>
  <c r="AL55" i="2"/>
  <c r="AM55" i="2" s="1"/>
  <c r="AL54" i="2"/>
  <c r="AM54" i="2" s="1"/>
  <c r="AL53" i="2"/>
  <c r="AM53" i="2" s="1"/>
  <c r="AL52" i="2"/>
  <c r="AM52" i="2" s="1"/>
  <c r="AL51" i="2"/>
  <c r="AL50" i="2"/>
  <c r="AM50" i="2" s="1"/>
  <c r="AL49" i="2"/>
  <c r="AM49" i="2" s="1"/>
  <c r="AL48" i="2"/>
  <c r="AL47" i="2"/>
  <c r="AM47" i="2" s="1"/>
  <c r="AL46" i="2"/>
  <c r="AM46" i="2" s="1"/>
  <c r="AL45" i="2"/>
  <c r="AM45" i="2" s="1"/>
  <c r="AL44" i="2"/>
  <c r="AM44" i="2" s="1"/>
  <c r="AL43" i="2"/>
  <c r="AM43" i="2" s="1"/>
  <c r="AL42" i="2"/>
  <c r="AM42" i="2" s="1"/>
  <c r="AL41" i="2"/>
  <c r="AM41" i="2" s="1"/>
  <c r="AL40" i="2"/>
  <c r="AM40" i="2" s="1"/>
  <c r="AL39" i="2"/>
  <c r="AM39" i="2" s="1"/>
  <c r="AL38" i="2"/>
  <c r="AM38" i="2" s="1"/>
  <c r="AL37" i="2"/>
  <c r="AM37" i="2" s="1"/>
  <c r="AL36" i="2"/>
  <c r="AL35" i="2"/>
  <c r="AM35" i="2" s="1"/>
  <c r="AL34" i="2"/>
  <c r="AM34" i="2" s="1"/>
  <c r="AL33" i="2"/>
  <c r="AM33" i="2" s="1"/>
  <c r="AL32" i="2"/>
  <c r="AM32" i="2" s="1"/>
  <c r="AL31" i="2"/>
  <c r="AM31" i="2" s="1"/>
  <c r="AL30" i="2"/>
  <c r="AM30" i="2" s="1"/>
  <c r="AL29" i="2"/>
  <c r="AL27" i="2"/>
  <c r="AM27" i="2" s="1"/>
  <c r="AL26" i="2"/>
  <c r="AM26" i="2" s="1"/>
  <c r="AL25" i="2"/>
  <c r="AL24" i="2"/>
  <c r="AL23" i="2"/>
  <c r="AM23" i="2" s="1"/>
  <c r="AL21" i="2"/>
  <c r="AL19" i="2"/>
  <c r="AM19" i="2" s="1"/>
  <c r="AL18" i="2"/>
  <c r="AM18" i="2" s="1"/>
  <c r="AL17" i="2"/>
  <c r="AM17" i="2" s="1"/>
  <c r="AL16" i="2"/>
  <c r="AM16" i="2" s="1"/>
  <c r="AL15" i="2"/>
  <c r="AM15" i="2" s="1"/>
  <c r="AL14" i="2"/>
  <c r="AM14" i="2" s="1"/>
  <c r="AL13" i="2"/>
  <c r="AM13" i="2" s="1"/>
  <c r="AL12" i="2"/>
  <c r="AM12" i="2" s="1"/>
  <c r="AL11" i="2"/>
  <c r="AM11" i="2" s="1"/>
  <c r="AL10" i="2"/>
  <c r="AM10" i="2" s="1"/>
  <c r="AL9" i="2"/>
  <c r="AM9" i="2" s="1"/>
  <c r="AL8" i="2"/>
  <c r="AM8" i="2" s="1"/>
  <c r="AL7" i="2"/>
  <c r="AM7"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rgb="FF000000"/>
            <rFont val="Tahoma"/>
            <family val="2"/>
          </rPr>
          <t>The average depth of fill over culvert in meters (to the nearest 0.01m)</t>
        </r>
      </text>
    </comment>
    <comment ref="V4" authorId="0" shapeId="0" xr:uid="{00000000-0006-0000-0200-000016000000}">
      <text>
        <r>
          <rPr>
            <b/>
            <sz val="9"/>
            <color rgb="FF000000"/>
            <rFont val="Tahoma"/>
            <family val="2"/>
          </rPr>
          <t xml:space="preserve">A Sum of two measures (Meters, to the nearest 0.01m)
</t>
        </r>
        <r>
          <rPr>
            <b/>
            <sz val="9"/>
            <color rgb="FF000000"/>
            <rFont val="Tahoma"/>
            <family val="2"/>
          </rPr>
          <t xml:space="preserve">1.) The distance between the culvert invert and the top of the residual pool
</t>
        </r>
        <r>
          <rPr>
            <b/>
            <sz val="9"/>
            <color rgb="FF000000"/>
            <rFont val="Tahoma"/>
            <family val="2"/>
          </rPr>
          <t>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rgb="FF000000"/>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rgb="FF000000"/>
            <rFont val="Tahoma"/>
            <family val="2"/>
          </rPr>
          <t>The evaluation of the crossing as a barrier to the fish passage, based on the final score value</t>
        </r>
        <r>
          <rPr>
            <sz val="9"/>
            <color rgb="FF000000"/>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<sst xmlns="http://schemas.openxmlformats.org/spreadsheetml/2006/main" count="941" uniqueCount="222">
  <si>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</si>
  <si>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</si>
  <si>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</si>
  <si>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</si>
  <si>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</si>
  <si>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</si>
  <si>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</si>
  <si>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</si>
  <si>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</si>
  <si>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</si>
  <si>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</si>
  <si>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</si>
  <si>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</si>
  <si>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</si>
  <si>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</si>
  <si>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</si>
  <si>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</si>
  <si>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</si>
  <si>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</si>
  <si>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</si>
  <si>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</si>
  <si>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</si>
  <si>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</si>
  <si>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</si>
  <si>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</si>
  <si>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</si>
  <si>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</si>
  <si>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</si>
  <si>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</si>
  <si>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</si>
  <si>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</si>
  <si>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</si>
  <si>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</si>
  <si>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</si>
  <si>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</si>
  <si>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</si>
  <si>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</si>
  <si>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</si>
  <si>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</si>
  <si>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</si>
  <si>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</si>
  <si>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</si>
  <si>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</si>
  <si>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</si>
  <si>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</si>
  <si>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</si>
  <si>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</si>
  <si>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</si>
  <si>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</si>
  <si>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</si>
  <si>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</si>
  <si>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</si>
  <si>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</si>
  <si>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</si>
  <si>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</si>
  <si>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</si>
  <si>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</si>
  <si>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</si>
  <si>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</si>
  <si>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</si>
  <si>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</si>
  <si>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</si>
  <si>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</si>
  <si>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</si>
  <si>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</si>
  <si>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</si>
  <si>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</si>
  <si>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</si>
  <si>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</si>
  <si>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</si>
  <si>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</si>
  <si>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</si>
  <si>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</si>
  <si>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</si>
  <si>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</si>
  <si>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</si>
  <si>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</si>
  <si>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</si>
  <si>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</si>
  <si>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</si>
  <si>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</si>
  <si>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</si>
  <si>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</si>
  <si>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</si>
  <si>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</si>
  <si>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</si>
  <si>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</si>
  <si>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</si>
  <si>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</si>
  <si>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</si>
  <si>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</si>
  <si>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</si>
  <si>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</si>
  <si>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 xml:space="preserve"> Tributary to Elk River</t>
  </si>
  <si>
    <t>Elk River FSR</t>
  </si>
  <si>
    <t>Closed Bottom Structure</t>
  </si>
  <si>
    <t>Round Culvert</t>
  </si>
  <si>
    <t>No</t>
  </si>
  <si>
    <t>Yes</t>
  </si>
  <si>
    <t>Deep Fill</t>
  </si>
  <si>
    <t>Medium</t>
  </si>
  <si>
    <t>Culvert slope estimate. Stream dredged upstream to remove sediments. Flows are slow through culvert and unlikely barrier for fry/parr for much of year. Habitat assessment (FHAP) and electrofishing conducted in 2016 by AI and Masse. See density info. Crossing 4606244 is on deactivated spur so very likely a ford, about 300m upstream same thing for 4604099</t>
  </si>
  <si>
    <t>Low</t>
  </si>
  <si>
    <t xml:space="preserve">Stream not located where mapped. Unlikely fish bearing. Flows into forest floor downstream of culvert. </t>
  </si>
  <si>
    <t>Tributary to Lowe Creek</t>
  </si>
  <si>
    <t xml:space="preserve">Channelized downstream due to dredging for about 30m. Small stream, substrate primariy fines but some gravel present. </t>
  </si>
  <si>
    <t>Tributary to Elk River</t>
  </si>
  <si>
    <t>Spur from Elk River FSR</t>
  </si>
  <si>
    <t xml:space="preserve">Road is deactivated downstream so no crossings below (4607172, 4606929). Dry vegetated channel. Not likely fish bearing at this location. </t>
  </si>
  <si>
    <t xml:space="preserve">Plan in place to deactivate entire netowrk here (personal communication). Dry, vegetated channel. Likely non-fish bearing. </t>
  </si>
  <si>
    <t xml:space="preserve">Freshly dredged. Dry, Dredging may extend well down channel. See photo from about 130m downstream. </t>
  </si>
  <si>
    <t>Crossing creek</t>
  </si>
  <si>
    <t xml:space="preserve">Dry channel at time of survey, channel transitions to grass flats about 60 meters downstream. </t>
  </si>
  <si>
    <t>Tributary to Whiting creek</t>
  </si>
  <si>
    <t>Lower Elk Valley Road</t>
  </si>
  <si>
    <t xml:space="preserve">Whiting creek appeared to not be present as agricultural field present downstream. This appeared to be only channel present for Whiting. Dry, heavily vegetated channel downstream. Defined channel upstream but seems unlikely to be fish bearing. </t>
  </si>
  <si>
    <t>Littlemoor creek</t>
  </si>
  <si>
    <t xml:space="preserve">Flows through fenced private land upstream and downstream. Inlet has quite a bit of debris on it. Upstream is much steeper than downstream with gradient estimated at 12%. Small stream with good flow. </t>
  </si>
  <si>
    <t>Dalzell creek</t>
  </si>
  <si>
    <t>Airport Road</t>
  </si>
  <si>
    <t xml:space="preserve">Fenced private land upstream and downstream. Wetland area downstream. </t>
  </si>
  <si>
    <t>Driveway</t>
  </si>
  <si>
    <t>Private</t>
  </si>
  <si>
    <t xml:space="preserve">Embedded culvert on private driveway. EB known upstream. </t>
  </si>
  <si>
    <t xml:space="preserve">Culvert collapsing in the middle. Private resdience driveway. Wetland type habitat upstream. </t>
  </si>
  <si>
    <t>Brule creek</t>
  </si>
  <si>
    <t>Busato Road</t>
  </si>
  <si>
    <t>Oval Culvert</t>
  </si>
  <si>
    <t>High</t>
  </si>
  <si>
    <t xml:space="preserve">Large stream with good flow at this crossing. Culvert inlet is damaged and there is a large outlet drop. </t>
  </si>
  <si>
    <t>Weigart creek</t>
  </si>
  <si>
    <t>Highway 43</t>
  </si>
  <si>
    <t xml:space="preserve">Large stream with good flow. Flows currently mostly through South culvert which has higher outlet drop. Surveyed to 70m downstream, see photos, Cobble/Boulder substrate. Boulder cover. </t>
  </si>
  <si>
    <t>Other</t>
  </si>
  <si>
    <t>Ford</t>
  </si>
  <si>
    <t xml:space="preserve">Pulled crossing, no issues, is now a ford. </t>
  </si>
  <si>
    <t>AI</t>
  </si>
  <si>
    <t xml:space="preserve">Spur </t>
  </si>
  <si>
    <t>Deactivated, Ford, no issues.</t>
  </si>
  <si>
    <t>North Littlemoor creek</t>
  </si>
  <si>
    <t xml:space="preserve">Small stream but good flow, EB known upstream. Fenced private land upstream and downstream. Measurements estimated due to fenced private land. </t>
  </si>
  <si>
    <t xml:space="preserve">Culvert has extension with corner, small stream with good flow. WCT and EB documented upstream. Gravels present suitable for WCT and EB spawning. </t>
  </si>
  <si>
    <t>Hadner FSR</t>
  </si>
  <si>
    <t>Open Bottom Structure</t>
  </si>
  <si>
    <t>Bridge</t>
  </si>
  <si>
    <t>R08477</t>
  </si>
  <si>
    <t xml:space="preserve">Steep stream with good flow. FISS sample site 2593 near crossing lcoation. Suspect too steep. </t>
  </si>
  <si>
    <t>Hartley creek</t>
  </si>
  <si>
    <t>McCool creek</t>
  </si>
  <si>
    <t>Dicken Road</t>
  </si>
  <si>
    <t>MoTi</t>
  </si>
  <si>
    <t xml:space="preserve">WCT spawning system. See BC WCT management plan. Laser level used for culvert slope. </t>
  </si>
  <si>
    <t>Tributary to Lizard creek</t>
  </si>
  <si>
    <t>Lazy Lizard Lower</t>
  </si>
  <si>
    <t xml:space="preserve">Bike trail. </t>
  </si>
  <si>
    <t>Trail</t>
  </si>
  <si>
    <t xml:space="preserve">Trail. Stream has been diverted to beside the road. </t>
  </si>
  <si>
    <t>Mt Mclean Road</t>
  </si>
  <si>
    <t xml:space="preserve">Dry channel. Culvert is embedded. </t>
  </si>
  <si>
    <t>AI, Kp</t>
  </si>
  <si>
    <t>McGiverin Road</t>
  </si>
  <si>
    <t xml:space="preserve">Vegetated channel. Unlikely to be fish habitat. </t>
  </si>
  <si>
    <t>Railway</t>
  </si>
  <si>
    <t xml:space="preserve">Dry vegetated channl. Unlikely to be fish habitat. </t>
  </si>
  <si>
    <t>Robinson Road</t>
  </si>
  <si>
    <t xml:space="preserve">Dry mostly vegetated channel. Not likely fish habitat. </t>
  </si>
  <si>
    <t>Hill Road</t>
  </si>
  <si>
    <t xml:space="preserve">Dry, mostly vegetated channel. Not likely fish habitat. Two pipes, one buried by fill. Inlet elevated resultin in small are of wetland vegetation upstream. </t>
  </si>
  <si>
    <t>KP, AI</t>
  </si>
  <si>
    <t>Pipe Arch</t>
  </si>
  <si>
    <t xml:space="preserve">OBS, appears very passable. </t>
  </si>
  <si>
    <t xml:space="preserve">Stream dry at time of survey. Vegetated channel, loaded with sediment. Inlet of culvert damaged, partly bent. Inlet and outlet area dredged. </t>
  </si>
  <si>
    <t>Lowe creek</t>
  </si>
  <si>
    <t xml:space="preserve">Local landowner communicated no fish in this stream, and it fully freezes in winter and goes subsurface somewhere downstream. Stream slope estimated due to fenced private land. </t>
  </si>
  <si>
    <t xml:space="preserve">Three barrels (.45m each). Two of the three have water flowing through them. Upstream and downstream channel widens out, slow flow through vegetated channel. Highly manipulated banks. Deep fine substrate on both sides of crossing. Upstream resembles a wetland. </t>
  </si>
  <si>
    <t>Line creek mine road</t>
  </si>
  <si>
    <t xml:space="preserve">Dry at time of survey, no channel present, area vegetated grassland. Two culverts, 0.60m in diameter. Top culvert 0.5m higher than the lower. </t>
  </si>
  <si>
    <t>Hollow creek</t>
  </si>
  <si>
    <t>Whiting creek</t>
  </si>
  <si>
    <t>Grave creek</t>
  </si>
  <si>
    <t xml:space="preserve">Deactivated road, Ford. </t>
  </si>
  <si>
    <t xml:space="preserve">Stream dry at time of survey, channel not visible for about 40 downstream. Water and channel appear about 65m downstream of crossing. Upstream side of crossing inlet inlet not visible, covered by road fill or deep organic debris. Channel upstream non-existent and dry. This system (labelled as Grave creek on the map) must be a side or old channel. </t>
  </si>
  <si>
    <t>Tributary to Grave creek</t>
  </si>
  <si>
    <t xml:space="preserve">Inlet clogged with debris 3/4 of way up. Upstream area is wetland/pond. </t>
  </si>
  <si>
    <t>Cokato Road</t>
  </si>
  <si>
    <t xml:space="preserve">Very low flow at time of survey, .50m inlet drop from debris. Very steep culvert, possibley 2 sections with further upstream section being much steeper. </t>
  </si>
  <si>
    <t>Concrete Box</t>
  </si>
  <si>
    <t xml:space="preserve">Concrete arch, &gt;30% downstream of culvert for 10m likel from railway fill. Dry downstream with stagnant pools upstream. </t>
  </si>
  <si>
    <t xml:space="preserve">2 barrels, 0.90 and 1.1m. 1.1m culvert is slightly lower but very similar in elevation. Debris fence on inlet, stream dry at time of survey. </t>
  </si>
  <si>
    <t>Cokato creek</t>
  </si>
  <si>
    <t xml:space="preserve">3 large barrels (all 1.2m), very perched 0.7-1.3m above substrate. Stream dry at time of survey. Debris guard on upstream side of culverst. Note there is a slope change at the inlet of structure, much steeper short seciton possibly from damage. </t>
  </si>
  <si>
    <t xml:space="preserve">Stream dry at time of survey. Three barrels, 1.2m in diameter. All three very similar elevation, all perched .2-.50m above substrate. </t>
  </si>
  <si>
    <t xml:space="preserve">Stream dry at time of survey. 2 barrels (0.80 and 1.5m in diameter), similar heights but 1.5m slightly lower. Smaller barrel inlet damaged. </t>
  </si>
  <si>
    <t>Highline Drive (Fernie ski hill)</t>
  </si>
  <si>
    <t xml:space="preserve">Very recent heavy rains, 2 side channels for ski hill drainage infrastructure giving significant flow contributions just upstream of crossing, one of which is espeically turbid (from large parking lot). Culvert not baffled, very steep. A lot of fill on paved access to condos. Old metal collar of culvert ripped off and in outlet pool. </t>
  </si>
  <si>
    <t>Fernie ski hill</t>
  </si>
  <si>
    <t xml:space="preserve">Inlet drop about .40m, significant and looks like increased barrier. Crossing is Fernie ski hill gravel road for maitenance and users. Stream highly manipulated. Currently high and turbid due to heavy rain. </t>
  </si>
  <si>
    <t xml:space="preserve">Huge crossing through the ski hill parkin lot and lodge area. Likely not a good use of $ to fix. Huge outlet drop and pool, extremely long culvert (close to 100m) tied in with other drainage infrastructure at the base of the Fernie ski hill. Inlet drop about .15m </t>
  </si>
  <si>
    <t xml:space="preserve">Stream continually get steeper, just upstream gradient is around 20%. Crossing last of a series within close proximity of each other, the crossing downstream of this one is huge, nearly 100m long. Likely more crossing upstream on skihill infrastructure and access roads. Recent heavy rains, raised and clouded water. </t>
  </si>
  <si>
    <t>Fernie Nordic Trail</t>
  </si>
  <si>
    <t>Outlet pool appears dredged, very deep, approximately 2m and 7-8m long. Nice stream, good flow.</t>
  </si>
  <si>
    <t>Highway 3</t>
  </si>
  <si>
    <t>MoTI</t>
  </si>
  <si>
    <t>Fry observed at outlet pool.  Inlet of active pipe mostly plugged with debris. Overflow pipe is 0.8m outlet drop with fry/juveniles standed in outlet pool.  Flows out of Fernie Ski Hill Road development area.</t>
  </si>
  <si>
    <t>AI, MF, DN</t>
  </si>
  <si>
    <t>Dicken Rd</t>
  </si>
  <si>
    <t>Stream dry at time of survey.  Childrens fort in upstream channel indicating that flows are likely very minimal year round.</t>
  </si>
  <si>
    <t>Bean Creek</t>
  </si>
  <si>
    <t xml:space="preserve">Multiple fish observed in outlet pool (~190mm).  Some gravels suitable for spawning located upstream.  </t>
  </si>
  <si>
    <t>This crossing is very full of debris and has been recently dredges.  Less than 30cm freeboard from top of aggraded gravels at inlet and top of pipe arch.  Newly installed overflow pipe (0.55 diameter) on left bank.</t>
  </si>
  <si>
    <t>Fish observed at upstream crossing on Bean Rd.  Grate on inlet may prevent passage off adult fish.  Fill depth estimated from photos.</t>
  </si>
  <si>
    <t xml:space="preserve">Nice wooden pedestrian/bike bridge for recreational use. </t>
  </si>
  <si>
    <t>Replace with New Open Bottom Structure</t>
  </si>
  <si>
    <t xml:space="preserve">Low, slow flow.Culvert completely backwatered. Amphibian species sighted at inlet. </t>
  </si>
  <si>
    <t xml:space="preserve">Upstream past dredging natural channel 2.5m wide. Downstream below dredging extremely braided, original channel difficult to track. Channel widths &gt;10m at times with substrate on top of banks and in bases of trees. Channel dredged upstream and downstream approximately 75m on each. </t>
  </si>
  <si>
    <t xml:space="preserve">Good habitat, habitat assessment (FHAP) conducted by in 2016 (Masse) for proposed coal mine EA (Bingay). Electrofished U/S and D/S, see provincial records. </t>
  </si>
  <si>
    <t>Large perched culvert. High value habitat. Habitat confirmation conducted.</t>
  </si>
  <si>
    <t>Dewatered upstream. Downstream, deep pool present, fed subsurface from northside of culvert.  Approximately 9 WCT in outlet pool.  Four fish ~300mm and 5 fish ~200 mm. High confidence that the larger fish were WCT as easy to recognize from bank.</t>
  </si>
  <si>
    <t>No visible channel, likely no fish habitat value. Agricultural area.</t>
  </si>
  <si>
    <t xml:space="preserve">No access up or downstream due to fenced private land. Stream slope estimated. </t>
  </si>
  <si>
    <t xml:space="preserve">No access up or downstream due to fenced private land. Stream slope estimated. Water pipe intake at the oulet, likely for agricultural use. </t>
  </si>
  <si>
    <t xml:space="preserve">Debris guard on inlet. Unable to see through the culvert to other end. Highly manipulated banks, drains large parking area and ski hill. Steep with placed rocks (rip rap) in spots upstream. Stream goes under large turn around, paved area. Culvert likely &gt;1 piece with slight angle. Armoured banks downstream, lots of sediment (sand) form pavement and parking area.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</si>
</sst>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Normal="100" workbookViewId="0">
      <pane ySplit="4" topLeftCell="A11" activePane="bottomLeft" state="frozen"/>
      <selection pane="bottomLeft" activeCell="A20" sqref="A20:XFD20"/>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44090</v>
      </c>
      <c r="B5" s="112"/>
      <c r="C5" s="116">
        <v>4605653</v>
      </c>
      <c r="D5" s="116" t="s">
        <v>92</v>
      </c>
      <c r="E5" s="77">
        <v>11</v>
      </c>
      <c r="F5" s="53">
        <v>644666</v>
      </c>
      <c r="G5" s="51">
        <v>5564940</v>
      </c>
      <c r="H5" s="11" t="s">
        <v>93</v>
      </c>
      <c r="I5" s="11" t="s">
        <v>94</v>
      </c>
      <c r="J5" s="104"/>
      <c r="K5" s="11"/>
      <c r="L5" s="116" t="s">
        <v>95</v>
      </c>
      <c r="M5" s="116" t="s">
        <v>96</v>
      </c>
      <c r="N5" s="109">
        <v>0.9</v>
      </c>
      <c r="O5" s="109">
        <v>10.92</v>
      </c>
      <c r="P5" s="116" t="s">
        <v>97</v>
      </c>
      <c r="Q5" s="121"/>
      <c r="R5" s="116" t="s">
        <v>97</v>
      </c>
      <c r="S5" s="116" t="s">
        <v>97</v>
      </c>
      <c r="T5" s="121"/>
      <c r="U5" s="116">
        <v>0.4</v>
      </c>
      <c r="V5" s="116">
        <v>0</v>
      </c>
      <c r="W5" s="116">
        <v>0.2</v>
      </c>
      <c r="X5" s="116" t="s">
        <v>97</v>
      </c>
      <c r="Y5" s="116">
        <v>3.2</v>
      </c>
      <c r="Z5" s="116">
        <v>2.5</v>
      </c>
      <c r="AA5" s="116">
        <v>2</v>
      </c>
      <c r="AB5" s="115" t="s">
        <v>97</v>
      </c>
      <c r="AC5" s="115" t="s">
        <v>98</v>
      </c>
      <c r="AD5" s="116" t="s">
        <v>99</v>
      </c>
      <c r="AE5" s="116" t="s">
        <v>100</v>
      </c>
      <c r="AF5" s="22">
        <f>IF(ISBLANK(Z5), 0, IF(ISBLANK(N5) &lt; 0, 0,Z5 / N5))</f>
        <v>2.7777777777777777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6"/>
      <c r="AO5" s="116"/>
      <c r="AP5" s="103" t="s">
        <v>215</v>
      </c>
    </row>
    <row r="6" spans="1:42" s="13" customFormat="1" ht="30" x14ac:dyDescent="0.25">
      <c r="A6" s="117">
        <v>44090</v>
      </c>
      <c r="B6" s="112"/>
      <c r="C6" s="116">
        <v>4605675</v>
      </c>
      <c r="D6" s="116" t="s">
        <v>92</v>
      </c>
      <c r="E6" s="77">
        <v>11</v>
      </c>
      <c r="F6" s="78">
        <v>645225</v>
      </c>
      <c r="G6" s="79">
        <v>5567096</v>
      </c>
      <c r="H6" s="11" t="s">
        <v>93</v>
      </c>
      <c r="I6" s="11" t="s">
        <v>94</v>
      </c>
      <c r="J6" s="104">
        <v>125.9</v>
      </c>
      <c r="K6" s="116"/>
      <c r="L6" s="116" t="s">
        <v>95</v>
      </c>
      <c r="M6" s="116" t="s">
        <v>96</v>
      </c>
      <c r="N6" s="109">
        <v>0.6</v>
      </c>
      <c r="O6" s="109">
        <v>10.5</v>
      </c>
      <c r="P6" s="116" t="s">
        <v>97</v>
      </c>
      <c r="Q6" s="121"/>
      <c r="R6" s="116" t="s">
        <v>97</v>
      </c>
      <c r="S6" s="116" t="s">
        <v>97</v>
      </c>
      <c r="T6" s="121"/>
      <c r="U6" s="116">
        <v>0.5</v>
      </c>
      <c r="V6" s="116">
        <v>0</v>
      </c>
      <c r="W6" s="116">
        <v>0.05</v>
      </c>
      <c r="X6" s="116" t="s">
        <v>97</v>
      </c>
      <c r="Y6" s="116">
        <v>2.5</v>
      </c>
      <c r="Z6" s="116">
        <v>2</v>
      </c>
      <c r="AA6" s="116">
        <v>0.5</v>
      </c>
      <c r="AB6" s="115" t="s">
        <v>97</v>
      </c>
      <c r="AC6" s="115" t="s">
        <v>97</v>
      </c>
      <c r="AD6" s="116" t="s">
        <v>99</v>
      </c>
      <c r="AE6" s="116" t="s">
        <v>100</v>
      </c>
      <c r="AF6" s="22">
        <f t="shared" ref="AF6:AF11" si="0">IF(ISBLANK(Z6), 0, IF(ISBLANK(N6) &lt; 0, 0,Z6 / N6))</f>
        <v>3.3333333333333335</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21</v>
      </c>
      <c r="AM6" s="16" t="str">
        <f t="shared" ref="AM6:AM67" si="7">IF(ISBLANK(L6), "", IF(L6 = "Open Bottom Structure", "Passable", IF(L6 = "Other", "Unknown", IF(AL6 &lt; 15, "Passable", IF(AND(AL6 &gt;= 15,AL6 &lt;= 19), "Potential", IF(AL6 &gt; 19, "Barrier", ""))))))</f>
        <v>Barrier</v>
      </c>
      <c r="AN6" s="116"/>
      <c r="AO6" s="116"/>
      <c r="AP6" s="103" t="s">
        <v>101</v>
      </c>
    </row>
    <row r="7" spans="1:42" s="13" customFormat="1" ht="30" x14ac:dyDescent="0.25">
      <c r="A7" s="117">
        <v>44090</v>
      </c>
      <c r="B7" s="112"/>
      <c r="C7" s="116">
        <v>4605705</v>
      </c>
      <c r="D7" s="116" t="s">
        <v>92</v>
      </c>
      <c r="E7" s="77">
        <v>11</v>
      </c>
      <c r="F7" s="78">
        <v>643733</v>
      </c>
      <c r="G7" s="79">
        <v>5560586</v>
      </c>
      <c r="H7" s="11" t="s">
        <v>93</v>
      </c>
      <c r="I7" s="11" t="s">
        <v>94</v>
      </c>
      <c r="J7" s="104">
        <v>119.1</v>
      </c>
      <c r="K7" s="116"/>
      <c r="L7" s="116" t="s">
        <v>95</v>
      </c>
      <c r="M7" s="116" t="s">
        <v>96</v>
      </c>
      <c r="N7" s="114">
        <v>0.35</v>
      </c>
      <c r="O7" s="114">
        <v>15</v>
      </c>
      <c r="P7" s="116" t="s">
        <v>97</v>
      </c>
      <c r="Q7" s="121"/>
      <c r="R7" s="116" t="s">
        <v>97</v>
      </c>
      <c r="S7" s="116" t="s">
        <v>97</v>
      </c>
      <c r="T7" s="121"/>
      <c r="U7" s="116">
        <v>1.2</v>
      </c>
      <c r="V7" s="116">
        <v>2.15</v>
      </c>
      <c r="W7" s="116">
        <v>0.4</v>
      </c>
      <c r="X7" s="116" t="s">
        <v>97</v>
      </c>
      <c r="Y7" s="116">
        <v>2.5</v>
      </c>
      <c r="Z7" s="116">
        <v>1</v>
      </c>
      <c r="AA7" s="116">
        <v>0.5</v>
      </c>
      <c r="AB7" s="115" t="s">
        <v>97</v>
      </c>
      <c r="AC7" s="115" t="s">
        <v>97</v>
      </c>
      <c r="AD7" s="116" t="s">
        <v>99</v>
      </c>
      <c r="AE7" s="116" t="s">
        <v>102</v>
      </c>
      <c r="AF7" s="22">
        <f t="shared" si="0"/>
        <v>2.8571428571428572</v>
      </c>
      <c r="AG7" s="15">
        <f t="shared" si="1"/>
        <v>3</v>
      </c>
      <c r="AH7" s="7">
        <f t="shared" si="2"/>
        <v>10</v>
      </c>
      <c r="AI7" s="7">
        <f t="shared" si="3"/>
        <v>10</v>
      </c>
      <c r="AJ7" s="7">
        <f t="shared" si="4"/>
        <v>5</v>
      </c>
      <c r="AK7" s="12">
        <f t="shared" si="5"/>
        <v>6</v>
      </c>
      <c r="AL7" s="14">
        <f t="shared" si="6"/>
        <v>34</v>
      </c>
      <c r="AM7" s="16" t="str">
        <f t="shared" si="7"/>
        <v>Barrier</v>
      </c>
      <c r="AN7" s="116"/>
      <c r="AO7" s="116"/>
      <c r="AP7" s="116" t="s">
        <v>103</v>
      </c>
    </row>
    <row r="8" spans="1:42" s="13" customFormat="1" x14ac:dyDescent="0.25">
      <c r="A8" s="117">
        <v>44090</v>
      </c>
      <c r="B8" s="110"/>
      <c r="C8" s="116">
        <v>4605708</v>
      </c>
      <c r="D8" s="116" t="s">
        <v>92</v>
      </c>
      <c r="E8" s="77">
        <v>11</v>
      </c>
      <c r="F8" s="78">
        <v>643611</v>
      </c>
      <c r="G8" s="79">
        <v>5559835</v>
      </c>
      <c r="H8" s="116" t="s">
        <v>104</v>
      </c>
      <c r="I8" s="77" t="s">
        <v>94</v>
      </c>
      <c r="J8" s="105"/>
      <c r="K8" s="108"/>
      <c r="L8" s="116" t="s">
        <v>95</v>
      </c>
      <c r="M8" s="116" t="s">
        <v>96</v>
      </c>
      <c r="N8" s="114">
        <v>0.6</v>
      </c>
      <c r="O8" s="114">
        <v>10</v>
      </c>
      <c r="P8" s="116" t="s">
        <v>98</v>
      </c>
      <c r="Q8" s="116">
        <v>0.1</v>
      </c>
      <c r="R8" s="116" t="s">
        <v>98</v>
      </c>
      <c r="S8" s="116" t="s">
        <v>97</v>
      </c>
      <c r="T8" s="121"/>
      <c r="U8" s="116">
        <v>0.5</v>
      </c>
      <c r="V8" s="116">
        <v>0</v>
      </c>
      <c r="W8" s="116">
        <v>0</v>
      </c>
      <c r="X8" s="116" t="s">
        <v>97</v>
      </c>
      <c r="Y8" s="116">
        <v>1.5</v>
      </c>
      <c r="Z8" s="116">
        <v>1.1000000000000001</v>
      </c>
      <c r="AA8" s="116">
        <v>3.5</v>
      </c>
      <c r="AB8" s="115" t="s">
        <v>97</v>
      </c>
      <c r="AC8" s="115" t="s">
        <v>97</v>
      </c>
      <c r="AD8" s="116" t="s">
        <v>99</v>
      </c>
      <c r="AE8" s="116" t="s">
        <v>102</v>
      </c>
      <c r="AF8" s="22">
        <f t="shared" si="0"/>
        <v>1.8333333333333335</v>
      </c>
      <c r="AG8" s="15">
        <f t="shared" si="1"/>
        <v>0</v>
      </c>
      <c r="AH8" s="7">
        <f t="shared" si="2"/>
        <v>5</v>
      </c>
      <c r="AI8" s="7">
        <f t="shared" si="3"/>
        <v>0</v>
      </c>
      <c r="AJ8" s="7">
        <f t="shared" si="4"/>
        <v>5</v>
      </c>
      <c r="AK8" s="12">
        <f t="shared" si="5"/>
        <v>6</v>
      </c>
      <c r="AL8" s="14">
        <f t="shared" si="6"/>
        <v>16</v>
      </c>
      <c r="AM8" s="16" t="str">
        <f t="shared" si="7"/>
        <v>Potential</v>
      </c>
      <c r="AN8" s="116"/>
      <c r="AO8" s="116"/>
      <c r="AP8" s="116" t="s">
        <v>105</v>
      </c>
    </row>
    <row r="9" spans="1:42" ht="30" x14ac:dyDescent="0.25">
      <c r="A9" s="117">
        <v>44090</v>
      </c>
      <c r="B9" s="111"/>
      <c r="C9" s="116">
        <v>4606835</v>
      </c>
      <c r="D9" s="116" t="s">
        <v>92</v>
      </c>
      <c r="E9" s="77">
        <v>11</v>
      </c>
      <c r="F9" s="78">
        <v>644829</v>
      </c>
      <c r="G9" s="79">
        <v>5559116</v>
      </c>
      <c r="H9" s="11" t="s">
        <v>93</v>
      </c>
      <c r="I9" s="77" t="s">
        <v>107</v>
      </c>
      <c r="J9" s="104"/>
      <c r="K9" s="108"/>
      <c r="L9" s="116" t="s">
        <v>95</v>
      </c>
      <c r="M9" s="115" t="s">
        <v>96</v>
      </c>
      <c r="N9" s="113">
        <v>0.4</v>
      </c>
      <c r="O9" s="113">
        <v>10</v>
      </c>
      <c r="P9" s="116" t="s">
        <v>97</v>
      </c>
      <c r="Q9" s="121"/>
      <c r="R9" s="116" t="s">
        <v>97</v>
      </c>
      <c r="S9" s="116" t="s">
        <v>97</v>
      </c>
      <c r="T9" s="121"/>
      <c r="U9" s="116">
        <v>1</v>
      </c>
      <c r="V9" s="116">
        <v>0.3</v>
      </c>
      <c r="W9" s="116">
        <v>0</v>
      </c>
      <c r="X9" s="116" t="s">
        <v>97</v>
      </c>
      <c r="Y9" s="116">
        <v>2.5</v>
      </c>
      <c r="Z9" s="116">
        <v>1</v>
      </c>
      <c r="AA9" s="116">
        <v>3</v>
      </c>
      <c r="AB9" s="115" t="s">
        <v>97</v>
      </c>
      <c r="AC9" s="115" t="s">
        <v>97</v>
      </c>
      <c r="AD9" s="116" t="s">
        <v>99</v>
      </c>
      <c r="AE9" s="116" t="s">
        <v>102</v>
      </c>
      <c r="AF9" s="22">
        <f t="shared" si="0"/>
        <v>2.5</v>
      </c>
      <c r="AG9" s="15">
        <f t="shared" si="1"/>
        <v>0</v>
      </c>
      <c r="AH9" s="7">
        <f t="shared" si="2"/>
        <v>10</v>
      </c>
      <c r="AI9" s="7">
        <f t="shared" si="3"/>
        <v>10</v>
      </c>
      <c r="AJ9" s="7">
        <f t="shared" si="4"/>
        <v>5</v>
      </c>
      <c r="AK9" s="12">
        <f t="shared" si="5"/>
        <v>6</v>
      </c>
      <c r="AL9" s="14">
        <f t="shared" si="6"/>
        <v>31</v>
      </c>
      <c r="AM9" s="16" t="str">
        <f t="shared" si="7"/>
        <v>Barrier</v>
      </c>
      <c r="AN9" s="116"/>
      <c r="AO9" s="116"/>
      <c r="AP9" s="116" t="s">
        <v>108</v>
      </c>
    </row>
    <row r="10" spans="1:42" ht="30" x14ac:dyDescent="0.25">
      <c r="A10" s="117">
        <v>44090</v>
      </c>
      <c r="B10" s="111"/>
      <c r="C10" s="116">
        <v>4606669</v>
      </c>
      <c r="D10" s="116" t="s">
        <v>92</v>
      </c>
      <c r="E10" s="77">
        <v>11</v>
      </c>
      <c r="F10" s="78">
        <v>646462</v>
      </c>
      <c r="G10" s="79">
        <v>5554360</v>
      </c>
      <c r="H10" s="103" t="s">
        <v>93</v>
      </c>
      <c r="I10" s="77" t="s">
        <v>107</v>
      </c>
      <c r="J10" s="104"/>
      <c r="K10" s="116"/>
      <c r="L10" s="116" t="s">
        <v>95</v>
      </c>
      <c r="M10" s="116" t="s">
        <v>96</v>
      </c>
      <c r="N10" s="114">
        <v>0.4</v>
      </c>
      <c r="O10" s="114">
        <v>10</v>
      </c>
      <c r="P10" s="116" t="s">
        <v>97</v>
      </c>
      <c r="Q10" s="122"/>
      <c r="R10" s="116" t="s">
        <v>97</v>
      </c>
      <c r="S10" s="116" t="s">
        <v>97</v>
      </c>
      <c r="T10" s="122"/>
      <c r="U10" s="114">
        <v>1</v>
      </c>
      <c r="V10" s="116">
        <v>0</v>
      </c>
      <c r="W10" s="114">
        <v>0</v>
      </c>
      <c r="X10" s="116" t="s">
        <v>97</v>
      </c>
      <c r="Y10" s="114">
        <v>2</v>
      </c>
      <c r="Z10" s="114">
        <v>1</v>
      </c>
      <c r="AA10" s="116">
        <v>0.5</v>
      </c>
      <c r="AB10" s="116" t="s">
        <v>97</v>
      </c>
      <c r="AC10" s="116" t="s">
        <v>97</v>
      </c>
      <c r="AD10" s="116" t="s">
        <v>99</v>
      </c>
      <c r="AE10" s="116" t="s">
        <v>102</v>
      </c>
      <c r="AF10" s="22">
        <f t="shared" si="0"/>
        <v>2.5</v>
      </c>
      <c r="AG10" s="15">
        <f t="shared" si="1"/>
        <v>0</v>
      </c>
      <c r="AH10" s="7">
        <f t="shared" si="2"/>
        <v>10</v>
      </c>
      <c r="AI10" s="7">
        <f t="shared" si="3"/>
        <v>0</v>
      </c>
      <c r="AJ10" s="7">
        <f t="shared" si="4"/>
        <v>5</v>
      </c>
      <c r="AK10" s="12">
        <f t="shared" si="5"/>
        <v>6</v>
      </c>
      <c r="AL10" s="14">
        <f t="shared" si="6"/>
        <v>21</v>
      </c>
      <c r="AM10" s="16" t="str">
        <f t="shared" si="7"/>
        <v>Barrier</v>
      </c>
      <c r="AN10" s="115"/>
      <c r="AO10" s="114"/>
      <c r="AP10" s="116" t="s">
        <v>109</v>
      </c>
    </row>
    <row r="11" spans="1:42" x14ac:dyDescent="0.25">
      <c r="A11" s="117">
        <v>44090</v>
      </c>
      <c r="B11" s="111"/>
      <c r="C11" s="103">
        <v>4605733</v>
      </c>
      <c r="D11" s="115" t="s">
        <v>92</v>
      </c>
      <c r="E11" s="115">
        <v>11</v>
      </c>
      <c r="F11" s="107">
        <v>647191</v>
      </c>
      <c r="G11" s="106">
        <v>5552693</v>
      </c>
      <c r="H11" s="103" t="s">
        <v>106</v>
      </c>
      <c r="I11" s="77" t="s">
        <v>94</v>
      </c>
      <c r="J11" s="104"/>
      <c r="K11" s="115"/>
      <c r="L11" s="116" t="s">
        <v>95</v>
      </c>
      <c r="M11" s="116" t="s">
        <v>96</v>
      </c>
      <c r="N11" s="113">
        <v>1.2</v>
      </c>
      <c r="O11" s="113">
        <v>9.5</v>
      </c>
      <c r="P11" s="115" t="s">
        <v>97</v>
      </c>
      <c r="Q11" s="123"/>
      <c r="R11" s="115" t="s">
        <v>97</v>
      </c>
      <c r="S11" s="115" t="s">
        <v>97</v>
      </c>
      <c r="T11" s="123"/>
      <c r="U11" s="113"/>
      <c r="V11" s="115">
        <v>0.3</v>
      </c>
      <c r="W11" s="113">
        <v>0.6</v>
      </c>
      <c r="X11" s="115"/>
      <c r="Y11" s="113">
        <v>1</v>
      </c>
      <c r="Z11" s="113">
        <v>3.1</v>
      </c>
      <c r="AA11" s="115">
        <v>2</v>
      </c>
      <c r="AB11" s="115" t="s">
        <v>97</v>
      </c>
      <c r="AC11" s="115" t="s">
        <v>97</v>
      </c>
      <c r="AD11" s="115" t="s">
        <v>99</v>
      </c>
      <c r="AE11" s="115" t="s">
        <v>102</v>
      </c>
      <c r="AF11" s="22">
        <f t="shared" si="0"/>
        <v>2.5833333333333335</v>
      </c>
      <c r="AG11" s="15">
        <f t="shared" si="1"/>
        <v>0</v>
      </c>
      <c r="AH11" s="7">
        <f t="shared" si="2"/>
        <v>10</v>
      </c>
      <c r="AI11" s="7">
        <f t="shared" si="3"/>
        <v>10</v>
      </c>
      <c r="AJ11" s="7">
        <f>IF(Y11&lt;1,0,IF(AND(Y11&gt;=1,Y11&lt;3),5,IF(Y11&gt;=3,10,0)))</f>
        <v>5</v>
      </c>
      <c r="AK11" s="12">
        <f t="shared" si="5"/>
        <v>6</v>
      </c>
      <c r="AL11" s="14">
        <f t="shared" si="6"/>
        <v>31</v>
      </c>
      <c r="AM11" s="16" t="str">
        <f t="shared" si="7"/>
        <v>Barrier</v>
      </c>
      <c r="AN11" s="115"/>
      <c r="AO11" s="116"/>
      <c r="AP11" s="116" t="s">
        <v>110</v>
      </c>
    </row>
    <row r="12" spans="1:42" x14ac:dyDescent="0.25">
      <c r="A12" s="82">
        <v>44090</v>
      </c>
      <c r="B12" s="73"/>
      <c r="C12" s="25">
        <v>4605697</v>
      </c>
      <c r="D12" s="25" t="s">
        <v>92</v>
      </c>
      <c r="E12" s="77">
        <v>11</v>
      </c>
      <c r="F12" s="78">
        <v>648722</v>
      </c>
      <c r="G12" s="79">
        <v>5548198</v>
      </c>
      <c r="H12" s="77" t="s">
        <v>111</v>
      </c>
      <c r="I12" s="77" t="s">
        <v>94</v>
      </c>
      <c r="J12" s="42"/>
      <c r="K12" s="77"/>
      <c r="L12" s="25" t="s">
        <v>95</v>
      </c>
      <c r="M12" s="25" t="s">
        <v>96</v>
      </c>
      <c r="N12" s="114">
        <v>1.5</v>
      </c>
      <c r="O12" s="114">
        <v>1.8</v>
      </c>
      <c r="P12" s="116" t="s">
        <v>97</v>
      </c>
      <c r="Q12" s="121"/>
      <c r="R12" s="116" t="s">
        <v>97</v>
      </c>
      <c r="S12" s="116" t="s">
        <v>97</v>
      </c>
      <c r="T12" s="122"/>
      <c r="U12" s="114">
        <v>1</v>
      </c>
      <c r="V12" s="116">
        <v>0</v>
      </c>
      <c r="W12" s="114">
        <v>0</v>
      </c>
      <c r="X12" s="116" t="s">
        <v>97</v>
      </c>
      <c r="Y12" s="114">
        <v>5</v>
      </c>
      <c r="Z12" s="114">
        <v>2.5</v>
      </c>
      <c r="AA12" s="116">
        <v>3.5</v>
      </c>
      <c r="AB12" s="25" t="s">
        <v>97</v>
      </c>
      <c r="AC12" s="25" t="s">
        <v>97</v>
      </c>
      <c r="AD12" s="116" t="s">
        <v>99</v>
      </c>
      <c r="AE12" s="116" t="s">
        <v>102</v>
      </c>
      <c r="AF12" s="22">
        <f t="shared" ref="AF12:AF72" si="8">IF(ISBLANK(Z12), 0, IF(ISBLANK(N12) &lt; 0, 0,Z12 / N12))</f>
        <v>1.6666666666666667</v>
      </c>
      <c r="AG12" s="15">
        <f t="shared" si="1"/>
        <v>0</v>
      </c>
      <c r="AH12" s="7">
        <f t="shared" si="2"/>
        <v>10</v>
      </c>
      <c r="AI12" s="7">
        <f t="shared" si="3"/>
        <v>0</v>
      </c>
      <c r="AJ12" s="7">
        <f t="shared" si="4"/>
        <v>10</v>
      </c>
      <c r="AK12" s="12">
        <f t="shared" si="5"/>
        <v>6</v>
      </c>
      <c r="AL12" s="14">
        <f t="shared" ref="AL12:AL70" si="9">AG12 + AH12 + AI12 + AJ12 + AK12</f>
        <v>26</v>
      </c>
      <c r="AM12" s="16" t="str">
        <f t="shared" si="7"/>
        <v>Barrier</v>
      </c>
      <c r="AN12" s="116"/>
      <c r="AO12" s="114"/>
      <c r="AP12" s="25" t="s">
        <v>112</v>
      </c>
    </row>
    <row r="13" spans="1:42" ht="30" x14ac:dyDescent="0.25">
      <c r="A13" s="82">
        <v>44091</v>
      </c>
      <c r="B13" s="76"/>
      <c r="C13" s="25">
        <v>4600329</v>
      </c>
      <c r="D13" s="25" t="s">
        <v>92</v>
      </c>
      <c r="E13" s="77">
        <v>11</v>
      </c>
      <c r="F13" s="78">
        <v>652325</v>
      </c>
      <c r="G13" s="79">
        <v>5515789</v>
      </c>
      <c r="H13" s="77" t="s">
        <v>113</v>
      </c>
      <c r="I13" s="77" t="s">
        <v>114</v>
      </c>
      <c r="J13" s="80"/>
      <c r="K13" s="77"/>
      <c r="L13" s="25" t="s">
        <v>95</v>
      </c>
      <c r="M13" s="25" t="s">
        <v>96</v>
      </c>
      <c r="N13" s="114">
        <v>0.6</v>
      </c>
      <c r="O13" s="114">
        <v>12</v>
      </c>
      <c r="P13" s="116" t="s">
        <v>97</v>
      </c>
      <c r="Q13" s="121"/>
      <c r="R13" s="116" t="s">
        <v>98</v>
      </c>
      <c r="S13" s="116" t="s">
        <v>97</v>
      </c>
      <c r="T13" s="121"/>
      <c r="U13" s="114">
        <v>1</v>
      </c>
      <c r="V13" s="116">
        <v>0</v>
      </c>
      <c r="W13" s="114">
        <v>0</v>
      </c>
      <c r="X13" s="116" t="s">
        <v>97</v>
      </c>
      <c r="Y13" s="114">
        <v>1</v>
      </c>
      <c r="Z13" s="114">
        <v>0.5</v>
      </c>
      <c r="AA13" s="116">
        <v>0</v>
      </c>
      <c r="AB13" s="25" t="s">
        <v>97</v>
      </c>
      <c r="AC13" s="25" t="s">
        <v>97</v>
      </c>
      <c r="AD13" s="116" t="s">
        <v>99</v>
      </c>
      <c r="AE13" s="116" t="s">
        <v>102</v>
      </c>
      <c r="AF13" s="22">
        <f t="shared" si="8"/>
        <v>0.83333333333333337</v>
      </c>
      <c r="AG13" s="15">
        <f t="shared" si="1"/>
        <v>0</v>
      </c>
      <c r="AH13" s="7">
        <f t="shared" si="2"/>
        <v>10</v>
      </c>
      <c r="AI13" s="7">
        <f t="shared" si="3"/>
        <v>0</v>
      </c>
      <c r="AJ13" s="7">
        <f t="shared" si="4"/>
        <v>5</v>
      </c>
      <c r="AK13" s="12">
        <f t="shared" si="5"/>
        <v>0</v>
      </c>
      <c r="AL13" s="14">
        <f t="shared" si="9"/>
        <v>15</v>
      </c>
      <c r="AM13" s="16" t="str">
        <f t="shared" si="7"/>
        <v>Potential</v>
      </c>
      <c r="AN13" s="116"/>
      <c r="AO13" s="114"/>
      <c r="AP13" s="25" t="s">
        <v>115</v>
      </c>
    </row>
    <row r="14" spans="1:42" x14ac:dyDescent="0.25">
      <c r="A14" s="82">
        <v>44091</v>
      </c>
      <c r="B14" s="76"/>
      <c r="C14" s="25">
        <v>4600084</v>
      </c>
      <c r="D14" s="25" t="s">
        <v>92</v>
      </c>
      <c r="E14" s="77">
        <v>11</v>
      </c>
      <c r="F14" s="78">
        <v>651532</v>
      </c>
      <c r="G14" s="79">
        <v>5521052</v>
      </c>
      <c r="H14" s="77" t="s">
        <v>116</v>
      </c>
      <c r="I14" s="77" t="s">
        <v>114</v>
      </c>
      <c r="J14" s="80"/>
      <c r="K14" s="77" t="s">
        <v>150</v>
      </c>
      <c r="L14" s="25" t="s">
        <v>95</v>
      </c>
      <c r="M14" s="25" t="s">
        <v>96</v>
      </c>
      <c r="N14" s="114">
        <v>0.6</v>
      </c>
      <c r="O14" s="114">
        <v>22</v>
      </c>
      <c r="P14" s="116" t="s">
        <v>97</v>
      </c>
      <c r="Q14" s="121"/>
      <c r="R14" s="116" t="s">
        <v>97</v>
      </c>
      <c r="S14" s="116" t="s">
        <v>97</v>
      </c>
      <c r="T14" s="121"/>
      <c r="U14" s="114">
        <v>0.8</v>
      </c>
      <c r="V14" s="116">
        <v>0.2</v>
      </c>
      <c r="W14" s="114">
        <v>0.15</v>
      </c>
      <c r="X14" s="116" t="s">
        <v>97</v>
      </c>
      <c r="Y14" s="114">
        <v>3</v>
      </c>
      <c r="Z14" s="114">
        <v>1</v>
      </c>
      <c r="AA14" s="116">
        <v>0.5</v>
      </c>
      <c r="AB14" s="25" t="s">
        <v>97</v>
      </c>
      <c r="AC14" s="25" t="s">
        <v>97</v>
      </c>
      <c r="AD14" s="116" t="s">
        <v>99</v>
      </c>
      <c r="AE14" s="116" t="s">
        <v>102</v>
      </c>
      <c r="AF14" s="22">
        <f t="shared" si="8"/>
        <v>1.6666666666666667</v>
      </c>
      <c r="AG14" s="15">
        <f t="shared" si="1"/>
        <v>3</v>
      </c>
      <c r="AH14" s="7">
        <f t="shared" si="2"/>
        <v>10</v>
      </c>
      <c r="AI14" s="7">
        <f t="shared" si="3"/>
        <v>5</v>
      </c>
      <c r="AJ14" s="7">
        <f t="shared" si="4"/>
        <v>10</v>
      </c>
      <c r="AK14" s="12">
        <f t="shared" si="5"/>
        <v>6</v>
      </c>
      <c r="AL14" s="14">
        <f t="shared" si="9"/>
        <v>34</v>
      </c>
      <c r="AM14" s="16" t="str">
        <f t="shared" si="7"/>
        <v>Barrier</v>
      </c>
      <c r="AN14" s="116"/>
      <c r="AO14" s="114"/>
      <c r="AP14" s="25" t="s">
        <v>117</v>
      </c>
    </row>
    <row r="15" spans="1:42" x14ac:dyDescent="0.25">
      <c r="A15" s="82">
        <v>44091</v>
      </c>
      <c r="B15" s="76"/>
      <c r="C15" s="25">
        <v>4600040</v>
      </c>
      <c r="D15" s="25" t="s">
        <v>92</v>
      </c>
      <c r="E15" s="77">
        <v>11</v>
      </c>
      <c r="F15" s="78">
        <v>652004</v>
      </c>
      <c r="G15" s="79">
        <v>5522330</v>
      </c>
      <c r="H15" s="77" t="s">
        <v>118</v>
      </c>
      <c r="I15" s="77" t="s">
        <v>119</v>
      </c>
      <c r="J15" s="80"/>
      <c r="K15" s="77" t="s">
        <v>150</v>
      </c>
      <c r="L15" s="25" t="s">
        <v>95</v>
      </c>
      <c r="M15" s="25" t="s">
        <v>96</v>
      </c>
      <c r="N15" s="114">
        <v>0.9</v>
      </c>
      <c r="O15" s="114">
        <v>22</v>
      </c>
      <c r="P15" s="116" t="s">
        <v>98</v>
      </c>
      <c r="Q15" s="116">
        <v>0.3</v>
      </c>
      <c r="R15" s="116" t="s">
        <v>98</v>
      </c>
      <c r="S15" s="116" t="s">
        <v>97</v>
      </c>
      <c r="T15" s="122"/>
      <c r="U15" s="114">
        <v>0.5</v>
      </c>
      <c r="V15" s="116">
        <v>0</v>
      </c>
      <c r="W15" s="114">
        <v>0</v>
      </c>
      <c r="X15" s="116" t="s">
        <v>97</v>
      </c>
      <c r="Y15" s="114">
        <v>2.5</v>
      </c>
      <c r="Z15" s="114">
        <v>5</v>
      </c>
      <c r="AA15" s="116">
        <v>0</v>
      </c>
      <c r="AB15" s="25" t="s">
        <v>97</v>
      </c>
      <c r="AC15" s="25" t="s">
        <v>97</v>
      </c>
      <c r="AD15" s="116" t="s">
        <v>99</v>
      </c>
      <c r="AE15" s="116" t="s">
        <v>100</v>
      </c>
      <c r="AF15" s="22">
        <f t="shared" si="8"/>
        <v>5.5555555555555554</v>
      </c>
      <c r="AG15" s="15">
        <f t="shared" si="1"/>
        <v>3</v>
      </c>
      <c r="AH15" s="7">
        <f t="shared" si="2"/>
        <v>0</v>
      </c>
      <c r="AI15" s="7">
        <f t="shared" si="3"/>
        <v>0</v>
      </c>
      <c r="AJ15" s="7">
        <f t="shared" si="4"/>
        <v>5</v>
      </c>
      <c r="AK15" s="12">
        <f t="shared" si="5"/>
        <v>6</v>
      </c>
      <c r="AL15" s="14">
        <f t="shared" si="9"/>
        <v>14</v>
      </c>
      <c r="AM15" s="16" t="str">
        <f t="shared" si="7"/>
        <v>Passable</v>
      </c>
      <c r="AN15" s="121"/>
      <c r="AO15" s="122"/>
      <c r="AP15" s="25" t="s">
        <v>120</v>
      </c>
    </row>
    <row r="16" spans="1:42" x14ac:dyDescent="0.25">
      <c r="A16" s="82">
        <v>44091</v>
      </c>
      <c r="B16" s="76"/>
      <c r="C16" s="25">
        <v>4600037</v>
      </c>
      <c r="D16" s="25" t="s">
        <v>92</v>
      </c>
      <c r="E16" s="77">
        <v>11</v>
      </c>
      <c r="F16" s="78">
        <v>651867</v>
      </c>
      <c r="G16" s="79">
        <v>5522741</v>
      </c>
      <c r="H16" s="77" t="s">
        <v>118</v>
      </c>
      <c r="I16" s="77" t="s">
        <v>121</v>
      </c>
      <c r="J16" s="80"/>
      <c r="K16" s="77" t="s">
        <v>122</v>
      </c>
      <c r="L16" s="25" t="s">
        <v>95</v>
      </c>
      <c r="M16" s="25" t="s">
        <v>96</v>
      </c>
      <c r="N16" s="114">
        <v>0.75</v>
      </c>
      <c r="O16" s="114">
        <v>6</v>
      </c>
      <c r="P16" s="116" t="s">
        <v>98</v>
      </c>
      <c r="Q16" s="116">
        <v>0.1</v>
      </c>
      <c r="R16" s="116" t="s">
        <v>98</v>
      </c>
      <c r="S16" s="116" t="s">
        <v>97</v>
      </c>
      <c r="T16" s="122"/>
      <c r="U16" s="114">
        <v>0.3</v>
      </c>
      <c r="V16" s="116">
        <v>0</v>
      </c>
      <c r="W16" s="114">
        <v>0</v>
      </c>
      <c r="X16" s="116" t="s">
        <v>97</v>
      </c>
      <c r="Y16" s="114">
        <v>2</v>
      </c>
      <c r="Z16" s="114">
        <v>2.5</v>
      </c>
      <c r="AA16" s="116">
        <v>1.5</v>
      </c>
      <c r="AB16" s="25" t="s">
        <v>97</v>
      </c>
      <c r="AC16" s="25" t="s">
        <v>97</v>
      </c>
      <c r="AD16" s="116" t="s">
        <v>99</v>
      </c>
      <c r="AE16" s="116" t="s">
        <v>100</v>
      </c>
      <c r="AF16" s="22">
        <f t="shared" si="8"/>
        <v>3.3333333333333335</v>
      </c>
      <c r="AG16" s="15">
        <f t="shared" si="1"/>
        <v>0</v>
      </c>
      <c r="AH16" s="7">
        <f t="shared" si="2"/>
        <v>5</v>
      </c>
      <c r="AI16" s="7">
        <f t="shared" si="3"/>
        <v>0</v>
      </c>
      <c r="AJ16" s="7">
        <f t="shared" si="4"/>
        <v>5</v>
      </c>
      <c r="AK16" s="12">
        <f t="shared" si="5"/>
        <v>6</v>
      </c>
      <c r="AL16" s="14">
        <f t="shared" si="9"/>
        <v>16</v>
      </c>
      <c r="AM16" s="16" t="str">
        <f t="shared" si="7"/>
        <v>Potential</v>
      </c>
      <c r="AN16" s="116"/>
      <c r="AO16" s="114"/>
      <c r="AP16" s="25" t="s">
        <v>123</v>
      </c>
    </row>
    <row r="17" spans="1:42" x14ac:dyDescent="0.25">
      <c r="A17" s="82">
        <v>44091</v>
      </c>
      <c r="B17" s="76"/>
      <c r="C17" s="25">
        <v>4600038</v>
      </c>
      <c r="D17" s="25" t="s">
        <v>92</v>
      </c>
      <c r="E17" s="77">
        <v>11</v>
      </c>
      <c r="F17" s="78">
        <v>651917</v>
      </c>
      <c r="G17" s="79">
        <v>5522888</v>
      </c>
      <c r="H17" s="77" t="s">
        <v>118</v>
      </c>
      <c r="I17" s="77" t="s">
        <v>121</v>
      </c>
      <c r="J17" s="80"/>
      <c r="K17" s="77" t="s">
        <v>122</v>
      </c>
      <c r="L17" s="25" t="s">
        <v>95</v>
      </c>
      <c r="M17" s="25" t="s">
        <v>96</v>
      </c>
      <c r="N17" s="114">
        <v>0.75</v>
      </c>
      <c r="O17" s="114">
        <v>12.5</v>
      </c>
      <c r="P17" s="116" t="s">
        <v>98</v>
      </c>
      <c r="Q17" s="114">
        <v>0.18</v>
      </c>
      <c r="R17" s="116" t="s">
        <v>98</v>
      </c>
      <c r="S17" s="116" t="s">
        <v>97</v>
      </c>
      <c r="T17" s="121"/>
      <c r="U17" s="114">
        <v>0.3</v>
      </c>
      <c r="V17" s="116">
        <v>0</v>
      </c>
      <c r="W17" s="114">
        <v>0</v>
      </c>
      <c r="X17" s="116" t="s">
        <v>98</v>
      </c>
      <c r="Y17" s="114">
        <v>2</v>
      </c>
      <c r="Z17" s="114">
        <v>1.2</v>
      </c>
      <c r="AA17" s="116">
        <v>1.5</v>
      </c>
      <c r="AB17" s="25" t="s">
        <v>97</v>
      </c>
      <c r="AC17" s="25" t="s">
        <v>97</v>
      </c>
      <c r="AD17" s="116" t="s">
        <v>99</v>
      </c>
      <c r="AE17" s="116" t="s">
        <v>100</v>
      </c>
      <c r="AF17" s="22">
        <f t="shared" si="8"/>
        <v>1.5999999999999999</v>
      </c>
      <c r="AG17" s="15">
        <f t="shared" si="1"/>
        <v>0</v>
      </c>
      <c r="AH17" s="7">
        <f t="shared" si="2"/>
        <v>5</v>
      </c>
      <c r="AI17" s="7">
        <f t="shared" si="3"/>
        <v>0</v>
      </c>
      <c r="AJ17" s="7">
        <f t="shared" si="4"/>
        <v>5</v>
      </c>
      <c r="AK17" s="12">
        <f t="shared" si="5"/>
        <v>6</v>
      </c>
      <c r="AL17" s="14">
        <f t="shared" si="9"/>
        <v>16</v>
      </c>
      <c r="AM17" s="16" t="str">
        <f t="shared" si="7"/>
        <v>Potential</v>
      </c>
      <c r="AN17" s="116"/>
      <c r="AO17" s="114"/>
      <c r="AP17" s="25" t="s">
        <v>124</v>
      </c>
    </row>
    <row r="18" spans="1:42" x14ac:dyDescent="0.25">
      <c r="A18" s="82">
        <v>44091</v>
      </c>
      <c r="B18" s="76"/>
      <c r="C18" s="25">
        <v>4600183</v>
      </c>
      <c r="D18" s="25" t="s">
        <v>92</v>
      </c>
      <c r="E18" s="77">
        <v>11</v>
      </c>
      <c r="F18" s="78">
        <v>651626</v>
      </c>
      <c r="G18" s="79">
        <v>5528888</v>
      </c>
      <c r="H18" s="77" t="s">
        <v>125</v>
      </c>
      <c r="I18" s="77" t="s">
        <v>126</v>
      </c>
      <c r="J18" s="80"/>
      <c r="K18" s="77" t="s">
        <v>150</v>
      </c>
      <c r="L18" s="25" t="s">
        <v>95</v>
      </c>
      <c r="M18" s="25" t="s">
        <v>127</v>
      </c>
      <c r="N18" s="114">
        <v>3.3</v>
      </c>
      <c r="O18" s="114">
        <v>20</v>
      </c>
      <c r="P18" s="116" t="s">
        <v>97</v>
      </c>
      <c r="Q18" s="121"/>
      <c r="R18" s="116" t="s">
        <v>97</v>
      </c>
      <c r="S18" s="116" t="s">
        <v>97</v>
      </c>
      <c r="T18" s="122"/>
      <c r="U18" s="114">
        <v>1</v>
      </c>
      <c r="V18" s="116">
        <v>0.7</v>
      </c>
      <c r="W18" s="114">
        <v>1.5</v>
      </c>
      <c r="X18" s="116" t="s">
        <v>98</v>
      </c>
      <c r="Y18" s="114">
        <v>4</v>
      </c>
      <c r="Z18" s="114">
        <v>7.1</v>
      </c>
      <c r="AA18" s="116">
        <v>2</v>
      </c>
      <c r="AB18" s="25" t="s">
        <v>97</v>
      </c>
      <c r="AC18" s="25" t="s">
        <v>97</v>
      </c>
      <c r="AD18" s="116" t="s">
        <v>99</v>
      </c>
      <c r="AE18" s="116" t="s">
        <v>128</v>
      </c>
      <c r="AF18" s="22">
        <f t="shared" si="8"/>
        <v>2.1515151515151514</v>
      </c>
      <c r="AG18" s="15">
        <f t="shared" si="1"/>
        <v>3</v>
      </c>
      <c r="AH18" s="7">
        <f t="shared" si="2"/>
        <v>10</v>
      </c>
      <c r="AI18" s="7">
        <f t="shared" si="3"/>
        <v>10</v>
      </c>
      <c r="AJ18" s="7">
        <f t="shared" si="4"/>
        <v>10</v>
      </c>
      <c r="AK18" s="12">
        <f t="shared" si="5"/>
        <v>6</v>
      </c>
      <c r="AL18" s="14">
        <f t="shared" si="9"/>
        <v>39</v>
      </c>
      <c r="AM18" s="16" t="str">
        <f t="shared" si="7"/>
        <v>Barrier</v>
      </c>
      <c r="AN18" s="116"/>
      <c r="AO18" s="114"/>
      <c r="AP18" s="25" t="s">
        <v>129</v>
      </c>
    </row>
    <row r="19" spans="1:42" x14ac:dyDescent="0.25">
      <c r="A19" s="82">
        <v>44091</v>
      </c>
      <c r="B19" s="76"/>
      <c r="C19" s="25">
        <v>4600069</v>
      </c>
      <c r="D19" s="25" t="s">
        <v>92</v>
      </c>
      <c r="E19" s="77">
        <v>11</v>
      </c>
      <c r="F19" s="78">
        <v>650144</v>
      </c>
      <c r="G19" s="79">
        <v>5532055</v>
      </c>
      <c r="H19" s="77" t="s">
        <v>130</v>
      </c>
      <c r="I19" s="77" t="s">
        <v>131</v>
      </c>
      <c r="J19" s="42"/>
      <c r="K19" s="77" t="s">
        <v>150</v>
      </c>
      <c r="L19" s="25" t="s">
        <v>95</v>
      </c>
      <c r="M19" s="25" t="s">
        <v>96</v>
      </c>
      <c r="N19" s="114">
        <v>1.6</v>
      </c>
      <c r="O19" s="114"/>
      <c r="P19" s="116" t="s">
        <v>97</v>
      </c>
      <c r="Q19" s="121"/>
      <c r="R19" s="116" t="s">
        <v>97</v>
      </c>
      <c r="S19" s="116" t="s">
        <v>97</v>
      </c>
      <c r="T19" s="122"/>
      <c r="U19" s="114"/>
      <c r="V19" s="116">
        <v>0.15</v>
      </c>
      <c r="W19" s="114">
        <v>0.6</v>
      </c>
      <c r="X19" s="116" t="s">
        <v>98</v>
      </c>
      <c r="Y19" s="114">
        <v>4</v>
      </c>
      <c r="Z19" s="114">
        <v>4.3</v>
      </c>
      <c r="AA19" s="116">
        <v>2</v>
      </c>
      <c r="AB19" s="25" t="s">
        <v>97</v>
      </c>
      <c r="AC19" s="25" t="s">
        <v>97</v>
      </c>
      <c r="AD19" s="116" t="s">
        <v>99</v>
      </c>
      <c r="AE19" s="116" t="s">
        <v>128</v>
      </c>
      <c r="AF19" s="22">
        <f t="shared" si="8"/>
        <v>2.6874999999999996</v>
      </c>
      <c r="AG19" s="15">
        <f t="shared" si="1"/>
        <v>0</v>
      </c>
      <c r="AH19" s="7">
        <f t="shared" si="2"/>
        <v>10</v>
      </c>
      <c r="AI19" s="7">
        <f t="shared" si="3"/>
        <v>5</v>
      </c>
      <c r="AJ19" s="7">
        <f t="shared" si="4"/>
        <v>10</v>
      </c>
      <c r="AK19" s="12">
        <f t="shared" si="5"/>
        <v>6</v>
      </c>
      <c r="AL19" s="14">
        <f t="shared" si="9"/>
        <v>31</v>
      </c>
      <c r="AM19" s="16" t="str">
        <f t="shared" si="7"/>
        <v>Barrier</v>
      </c>
      <c r="AN19" s="116"/>
      <c r="AO19" s="114"/>
      <c r="AP19" s="25" t="s">
        <v>132</v>
      </c>
    </row>
    <row r="20" spans="1:42" x14ac:dyDescent="0.25">
      <c r="A20" s="82">
        <v>44092</v>
      </c>
      <c r="B20" s="76"/>
      <c r="C20" s="25">
        <v>4601205</v>
      </c>
      <c r="D20" s="25" t="s">
        <v>92</v>
      </c>
      <c r="E20" s="77">
        <v>11</v>
      </c>
      <c r="F20" s="78">
        <v>650917</v>
      </c>
      <c r="G20" s="79">
        <v>5528513</v>
      </c>
      <c r="H20" s="25" t="s">
        <v>125</v>
      </c>
      <c r="I20" s="77" t="s">
        <v>122</v>
      </c>
      <c r="J20" s="42"/>
      <c r="K20" s="77"/>
      <c r="L20" s="25" t="s">
        <v>133</v>
      </c>
      <c r="M20" s="25" t="s">
        <v>134</v>
      </c>
      <c r="N20" s="122"/>
      <c r="O20" s="122"/>
      <c r="P20" s="121"/>
      <c r="Q20" s="121"/>
      <c r="R20" s="121"/>
      <c r="S20" s="121"/>
      <c r="T20" s="121"/>
      <c r="U20" s="121"/>
      <c r="V20" s="121"/>
      <c r="W20" s="121"/>
      <c r="X20" s="121"/>
      <c r="Y20" s="121"/>
      <c r="Z20" s="121"/>
      <c r="AA20" s="121"/>
      <c r="AB20" s="25" t="s">
        <v>97</v>
      </c>
      <c r="AC20" s="25" t="s">
        <v>97</v>
      </c>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16"/>
      <c r="AO20" s="116"/>
      <c r="AP20" s="25" t="s">
        <v>135</v>
      </c>
    </row>
    <row r="21" spans="1:42" x14ac:dyDescent="0.25">
      <c r="A21" s="82">
        <v>44092</v>
      </c>
      <c r="B21" s="76"/>
      <c r="C21" s="25">
        <v>4602276</v>
      </c>
      <c r="D21" s="25" t="s">
        <v>136</v>
      </c>
      <c r="E21" s="25">
        <v>11</v>
      </c>
      <c r="F21" s="75">
        <v>649758</v>
      </c>
      <c r="G21" s="81">
        <v>5527935</v>
      </c>
      <c r="H21" s="25" t="s">
        <v>125</v>
      </c>
      <c r="I21" s="25" t="s">
        <v>137</v>
      </c>
      <c r="J21" s="42"/>
      <c r="K21" s="25"/>
      <c r="L21" s="25" t="s">
        <v>133</v>
      </c>
      <c r="M21" s="25" t="s">
        <v>134</v>
      </c>
      <c r="N21" s="122"/>
      <c r="O21" s="122"/>
      <c r="P21" s="121"/>
      <c r="Q21" s="122"/>
      <c r="R21" s="121"/>
      <c r="S21" s="121"/>
      <c r="T21" s="122"/>
      <c r="U21" s="122"/>
      <c r="V21" s="121"/>
      <c r="W21" s="122"/>
      <c r="X21" s="121"/>
      <c r="Y21" s="122"/>
      <c r="Z21" s="122"/>
      <c r="AA21" s="121"/>
      <c r="AB21" s="25" t="s">
        <v>97</v>
      </c>
      <c r="AC21" s="25" t="s">
        <v>97</v>
      </c>
      <c r="AD21" s="121"/>
      <c r="AE21" s="121"/>
      <c r="AF21" s="22">
        <f t="shared" si="8"/>
        <v>0</v>
      </c>
      <c r="AG21" s="15">
        <f t="shared" si="1"/>
        <v>0</v>
      </c>
      <c r="AH21" s="7">
        <f t="shared" si="2"/>
        <v>0</v>
      </c>
      <c r="AI21" s="7">
        <f t="shared" si="3"/>
        <v>0</v>
      </c>
      <c r="AJ21" s="7">
        <f t="shared" si="4"/>
        <v>0</v>
      </c>
      <c r="AK21" s="12">
        <f t="shared" si="5"/>
        <v>0</v>
      </c>
      <c r="AL21" s="14">
        <f t="shared" si="9"/>
        <v>0</v>
      </c>
      <c r="AM21" s="16" t="str">
        <f t="shared" si="7"/>
        <v>Unknown</v>
      </c>
      <c r="AN21" s="116"/>
      <c r="AO21" s="114"/>
      <c r="AP21" s="25" t="s">
        <v>138</v>
      </c>
    </row>
    <row r="22" spans="1:42" ht="30" x14ac:dyDescent="0.25">
      <c r="A22" s="82">
        <v>44092</v>
      </c>
      <c r="B22" s="76"/>
      <c r="C22" s="25">
        <v>4600184</v>
      </c>
      <c r="D22" s="25" t="s">
        <v>92</v>
      </c>
      <c r="E22" s="77">
        <v>11</v>
      </c>
      <c r="F22" s="78">
        <v>650954</v>
      </c>
      <c r="G22" s="79">
        <v>5522199</v>
      </c>
      <c r="H22" s="77" t="s">
        <v>139</v>
      </c>
      <c r="I22" s="77" t="s">
        <v>131</v>
      </c>
      <c r="J22" s="80"/>
      <c r="K22" s="77" t="s">
        <v>150</v>
      </c>
      <c r="L22" s="25" t="s">
        <v>95</v>
      </c>
      <c r="M22" s="25" t="s">
        <v>96</v>
      </c>
      <c r="N22" s="114">
        <v>0.6</v>
      </c>
      <c r="O22" s="114">
        <v>30</v>
      </c>
      <c r="P22" s="116" t="s">
        <v>97</v>
      </c>
      <c r="Q22" s="122"/>
      <c r="R22" s="116" t="s">
        <v>97</v>
      </c>
      <c r="S22" s="116" t="s">
        <v>97</v>
      </c>
      <c r="T22" s="122"/>
      <c r="U22" s="114">
        <v>4</v>
      </c>
      <c r="V22" s="116">
        <v>0.65</v>
      </c>
      <c r="W22" s="114">
        <v>0.55000000000000004</v>
      </c>
      <c r="X22" s="116" t="s">
        <v>97</v>
      </c>
      <c r="Y22" s="114">
        <v>8</v>
      </c>
      <c r="Z22" s="114">
        <v>1.6</v>
      </c>
      <c r="AA22" s="116">
        <v>5</v>
      </c>
      <c r="AB22" s="25" t="s">
        <v>97</v>
      </c>
      <c r="AC22" s="25" t="s">
        <v>97</v>
      </c>
      <c r="AD22" s="116" t="s">
        <v>99</v>
      </c>
      <c r="AE22" s="116" t="s">
        <v>100</v>
      </c>
      <c r="AF22" s="22">
        <f t="shared" si="8"/>
        <v>2.666666666666667</v>
      </c>
      <c r="AG22" s="15">
        <f t="shared" si="1"/>
        <v>6</v>
      </c>
      <c r="AH22" s="7">
        <f t="shared" si="2"/>
        <v>10</v>
      </c>
      <c r="AI22" s="7">
        <f t="shared" si="3"/>
        <v>10</v>
      </c>
      <c r="AJ22" s="7">
        <f t="shared" si="4"/>
        <v>10</v>
      </c>
      <c r="AK22" s="12">
        <f t="shared" si="5"/>
        <v>6</v>
      </c>
      <c r="AL22" s="14">
        <f t="shared" si="9"/>
        <v>42</v>
      </c>
      <c r="AM22" s="16" t="str">
        <f t="shared" si="7"/>
        <v>Barrier</v>
      </c>
      <c r="AN22" s="116"/>
      <c r="AO22" s="114"/>
      <c r="AP22" s="25" t="s">
        <v>140</v>
      </c>
    </row>
    <row r="23" spans="1:42" x14ac:dyDescent="0.25">
      <c r="A23" s="82">
        <v>44092</v>
      </c>
      <c r="B23" s="76"/>
      <c r="C23" s="25">
        <v>4600185</v>
      </c>
      <c r="D23" s="25" t="s">
        <v>92</v>
      </c>
      <c r="E23" s="77">
        <v>11</v>
      </c>
      <c r="F23" s="78">
        <v>651002</v>
      </c>
      <c r="G23" s="79">
        <v>5521022</v>
      </c>
      <c r="H23" s="77" t="s">
        <v>116</v>
      </c>
      <c r="I23" s="77" t="s">
        <v>131</v>
      </c>
      <c r="J23" s="80"/>
      <c r="K23" s="77" t="s">
        <v>150</v>
      </c>
      <c r="L23" s="25" t="s">
        <v>95</v>
      </c>
      <c r="M23" s="25" t="s">
        <v>96</v>
      </c>
      <c r="N23" s="114">
        <v>0.9</v>
      </c>
      <c r="O23" s="114">
        <v>40</v>
      </c>
      <c r="P23" s="116" t="s">
        <v>97</v>
      </c>
      <c r="Q23" s="122"/>
      <c r="R23" s="116" t="s">
        <v>97</v>
      </c>
      <c r="S23" s="116" t="s">
        <v>97</v>
      </c>
      <c r="T23" s="122"/>
      <c r="U23" s="114">
        <v>5</v>
      </c>
      <c r="V23" s="116">
        <v>0.3</v>
      </c>
      <c r="W23" s="114">
        <v>0.55000000000000004</v>
      </c>
      <c r="X23" s="116" t="s">
        <v>98</v>
      </c>
      <c r="Y23" s="114">
        <v>5</v>
      </c>
      <c r="Z23" s="114">
        <v>1.2</v>
      </c>
      <c r="AA23" s="116">
        <v>3.5</v>
      </c>
      <c r="AB23" s="25" t="s">
        <v>97</v>
      </c>
      <c r="AC23" s="25" t="s">
        <v>97</v>
      </c>
      <c r="AD23" s="116" t="s">
        <v>99</v>
      </c>
      <c r="AE23" s="116" t="s">
        <v>100</v>
      </c>
      <c r="AF23" s="22">
        <f t="shared" si="8"/>
        <v>1.3333333333333333</v>
      </c>
      <c r="AG23" s="15">
        <f t="shared" si="1"/>
        <v>6</v>
      </c>
      <c r="AH23" s="7">
        <f t="shared" si="2"/>
        <v>10</v>
      </c>
      <c r="AI23" s="7">
        <f t="shared" si="3"/>
        <v>10</v>
      </c>
      <c r="AJ23" s="7">
        <f t="shared" si="4"/>
        <v>10</v>
      </c>
      <c r="AK23" s="12">
        <f t="shared" si="5"/>
        <v>6</v>
      </c>
      <c r="AL23" s="14">
        <f t="shared" si="9"/>
        <v>42</v>
      </c>
      <c r="AM23" s="16" t="str">
        <f t="shared" si="7"/>
        <v>Barrier</v>
      </c>
      <c r="AN23" s="116"/>
      <c r="AO23" s="114"/>
      <c r="AP23" s="25" t="s">
        <v>141</v>
      </c>
    </row>
    <row r="24" spans="1:42" x14ac:dyDescent="0.25">
      <c r="A24" s="82">
        <v>44092</v>
      </c>
      <c r="B24" s="76"/>
      <c r="C24" s="25">
        <v>2020091801</v>
      </c>
      <c r="D24" s="25" t="s">
        <v>92</v>
      </c>
      <c r="E24" s="77">
        <v>11</v>
      </c>
      <c r="F24" s="78">
        <v>648381</v>
      </c>
      <c r="G24" s="79">
        <v>5499536</v>
      </c>
      <c r="H24" s="77" t="s">
        <v>148</v>
      </c>
      <c r="I24" s="77" t="s">
        <v>142</v>
      </c>
      <c r="J24" s="80"/>
      <c r="K24" s="77"/>
      <c r="L24" s="25" t="s">
        <v>143</v>
      </c>
      <c r="M24" s="25" t="s">
        <v>144</v>
      </c>
      <c r="N24" s="114">
        <v>4</v>
      </c>
      <c r="O24" s="114">
        <v>18</v>
      </c>
      <c r="P24" s="121"/>
      <c r="Q24" s="122"/>
      <c r="R24" s="121"/>
      <c r="S24" s="121"/>
      <c r="T24" s="122"/>
      <c r="U24" s="122"/>
      <c r="V24" s="121"/>
      <c r="W24" s="122"/>
      <c r="X24" s="121"/>
      <c r="Y24" s="122"/>
      <c r="Z24" s="122"/>
      <c r="AA24" s="121"/>
      <c r="AB24" s="25" t="s">
        <v>97</v>
      </c>
      <c r="AC24" s="25" t="s">
        <v>97</v>
      </c>
      <c r="AD24" s="121"/>
      <c r="AE24" s="121"/>
      <c r="AF24" s="22">
        <f t="shared" si="8"/>
        <v>0</v>
      </c>
      <c r="AG24" s="15">
        <f t="shared" si="1"/>
        <v>3</v>
      </c>
      <c r="AH24" s="7">
        <f t="shared" si="2"/>
        <v>0</v>
      </c>
      <c r="AI24" s="7">
        <f t="shared" si="3"/>
        <v>0</v>
      </c>
      <c r="AJ24" s="7">
        <f t="shared" si="4"/>
        <v>0</v>
      </c>
      <c r="AK24" s="12">
        <f t="shared" si="5"/>
        <v>0</v>
      </c>
      <c r="AL24" s="14">
        <f t="shared" si="9"/>
        <v>3</v>
      </c>
      <c r="AM24" s="16" t="str">
        <f t="shared" si="7"/>
        <v>Passable</v>
      </c>
      <c r="AN24" s="121"/>
      <c r="AO24" s="122"/>
      <c r="AP24" s="25"/>
    </row>
    <row r="25" spans="1:42" x14ac:dyDescent="0.25">
      <c r="A25" s="82">
        <v>44092</v>
      </c>
      <c r="B25" s="76"/>
      <c r="C25" s="25">
        <v>4607023</v>
      </c>
      <c r="D25" s="25" t="s">
        <v>92</v>
      </c>
      <c r="E25" s="77">
        <v>11</v>
      </c>
      <c r="F25" s="78">
        <v>648041</v>
      </c>
      <c r="G25" s="79">
        <v>5499983</v>
      </c>
      <c r="H25" s="77" t="s">
        <v>148</v>
      </c>
      <c r="I25" s="77"/>
      <c r="J25" s="80"/>
      <c r="K25" s="77" t="s">
        <v>145</v>
      </c>
      <c r="L25" s="25" t="s">
        <v>143</v>
      </c>
      <c r="M25" s="25" t="s">
        <v>144</v>
      </c>
      <c r="N25" s="114">
        <v>4</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row>
    <row r="26" spans="1:42" ht="30" x14ac:dyDescent="0.25">
      <c r="A26" s="82">
        <v>44092</v>
      </c>
      <c r="B26" s="76"/>
      <c r="C26" s="25">
        <v>4604198</v>
      </c>
      <c r="D26" s="25" t="s">
        <v>92</v>
      </c>
      <c r="E26" s="77">
        <v>11</v>
      </c>
      <c r="F26" s="78">
        <v>647819</v>
      </c>
      <c r="G26" s="79">
        <v>5498551</v>
      </c>
      <c r="H26" s="77" t="s">
        <v>106</v>
      </c>
      <c r="I26" s="77" t="s">
        <v>142</v>
      </c>
      <c r="J26" s="80"/>
      <c r="K26" s="77"/>
      <c r="L26" s="25" t="s">
        <v>95</v>
      </c>
      <c r="M26" s="25" t="s">
        <v>96</v>
      </c>
      <c r="N26" s="114">
        <v>0.8</v>
      </c>
      <c r="O26" s="114">
        <v>9</v>
      </c>
      <c r="P26" s="116" t="s">
        <v>97</v>
      </c>
      <c r="Q26" s="122"/>
      <c r="R26" s="116" t="s">
        <v>97</v>
      </c>
      <c r="S26" s="116" t="s">
        <v>97</v>
      </c>
      <c r="T26" s="122"/>
      <c r="U26" s="114">
        <v>1</v>
      </c>
      <c r="V26" s="116">
        <v>0.6</v>
      </c>
      <c r="W26" s="114">
        <v>0.3</v>
      </c>
      <c r="X26" s="116" t="s">
        <v>98</v>
      </c>
      <c r="Y26" s="114">
        <v>6</v>
      </c>
      <c r="Z26" s="114">
        <v>2.9</v>
      </c>
      <c r="AA26" s="116">
        <v>19</v>
      </c>
      <c r="AB26" s="25" t="s">
        <v>97</v>
      </c>
      <c r="AC26" s="25" t="s">
        <v>97</v>
      </c>
      <c r="AD26" s="116" t="s">
        <v>99</v>
      </c>
      <c r="AE26" s="116" t="s">
        <v>100</v>
      </c>
      <c r="AF26" s="22">
        <f t="shared" si="8"/>
        <v>3.6249999999999996</v>
      </c>
      <c r="AG26" s="15">
        <f t="shared" si="1"/>
        <v>0</v>
      </c>
      <c r="AH26" s="7">
        <f t="shared" si="2"/>
        <v>10</v>
      </c>
      <c r="AI26" s="7">
        <f t="shared" si="3"/>
        <v>10</v>
      </c>
      <c r="AJ26" s="7">
        <f t="shared" si="4"/>
        <v>10</v>
      </c>
      <c r="AK26" s="12">
        <f t="shared" si="5"/>
        <v>6</v>
      </c>
      <c r="AL26" s="14">
        <f t="shared" si="9"/>
        <v>36</v>
      </c>
      <c r="AM26" s="16" t="str">
        <f t="shared" si="7"/>
        <v>Barrier</v>
      </c>
      <c r="AN26" s="116"/>
      <c r="AO26" s="114"/>
      <c r="AP26" s="25" t="s">
        <v>146</v>
      </c>
    </row>
    <row r="27" spans="1:42" x14ac:dyDescent="0.25">
      <c r="A27" s="82">
        <v>44092</v>
      </c>
      <c r="B27" s="76"/>
      <c r="C27" s="25">
        <v>4600367</v>
      </c>
      <c r="D27" s="25" t="s">
        <v>92</v>
      </c>
      <c r="E27" s="77">
        <v>11</v>
      </c>
      <c r="F27" s="78">
        <v>643534</v>
      </c>
      <c r="G27" s="79">
        <v>5490723</v>
      </c>
      <c r="H27" s="77" t="s">
        <v>147</v>
      </c>
      <c r="I27" s="77" t="s">
        <v>149</v>
      </c>
      <c r="J27" s="80"/>
      <c r="K27" s="77" t="s">
        <v>150</v>
      </c>
      <c r="L27" s="25" t="s">
        <v>95</v>
      </c>
      <c r="M27" s="25" t="s">
        <v>127</v>
      </c>
      <c r="N27" s="114">
        <v>2.6</v>
      </c>
      <c r="O27" s="114">
        <v>20</v>
      </c>
      <c r="P27" s="116" t="s">
        <v>97</v>
      </c>
      <c r="Q27" s="122"/>
      <c r="R27" s="116" t="s">
        <v>97</v>
      </c>
      <c r="S27" s="116" t="s">
        <v>97</v>
      </c>
      <c r="T27" s="122"/>
      <c r="U27" s="114">
        <v>0.4</v>
      </c>
      <c r="V27" s="116">
        <v>0.4</v>
      </c>
      <c r="W27" s="114">
        <v>0.8</v>
      </c>
      <c r="X27" s="116" t="s">
        <v>97</v>
      </c>
      <c r="Y27" s="114">
        <v>2</v>
      </c>
      <c r="Z27" s="114">
        <v>3.5</v>
      </c>
      <c r="AA27" s="116">
        <v>1</v>
      </c>
      <c r="AB27" s="25" t="s">
        <v>97</v>
      </c>
      <c r="AC27" s="25" t="s">
        <v>97</v>
      </c>
      <c r="AD27" s="116" t="s">
        <v>99</v>
      </c>
      <c r="AE27" s="116" t="s">
        <v>128</v>
      </c>
      <c r="AF27" s="22">
        <f t="shared" si="8"/>
        <v>1.346153846153846</v>
      </c>
      <c r="AG27" s="15">
        <f t="shared" si="1"/>
        <v>3</v>
      </c>
      <c r="AH27" s="7">
        <f t="shared" si="2"/>
        <v>10</v>
      </c>
      <c r="AI27" s="7">
        <f t="shared" si="3"/>
        <v>10</v>
      </c>
      <c r="AJ27" s="7">
        <f t="shared" si="4"/>
        <v>5</v>
      </c>
      <c r="AK27" s="12">
        <f t="shared" si="5"/>
        <v>6</v>
      </c>
      <c r="AL27" s="14">
        <f t="shared" si="9"/>
        <v>34</v>
      </c>
      <c r="AM27" s="16" t="str">
        <f t="shared" si="7"/>
        <v>Barrier</v>
      </c>
      <c r="AN27" s="116"/>
      <c r="AO27" s="114"/>
      <c r="AP27" s="25" t="s">
        <v>151</v>
      </c>
    </row>
    <row r="28" spans="1:42" ht="30" x14ac:dyDescent="0.25">
      <c r="A28" s="82">
        <v>44096</v>
      </c>
      <c r="B28" s="76"/>
      <c r="C28" s="25">
        <v>2020092201</v>
      </c>
      <c r="D28" s="25" t="s">
        <v>92</v>
      </c>
      <c r="E28" s="77">
        <v>11</v>
      </c>
      <c r="F28" s="78">
        <v>634969</v>
      </c>
      <c r="G28" s="79">
        <v>5484828</v>
      </c>
      <c r="H28" s="77" t="s">
        <v>152</v>
      </c>
      <c r="I28" s="77" t="s">
        <v>153</v>
      </c>
      <c r="J28" s="80"/>
      <c r="K28" s="77"/>
      <c r="L28" s="25" t="s">
        <v>143</v>
      </c>
      <c r="M28" s="25" t="s">
        <v>144</v>
      </c>
      <c r="N28" s="114">
        <v>12</v>
      </c>
      <c r="O28" s="114">
        <v>1.2</v>
      </c>
      <c r="P28" s="121"/>
      <c r="Q28" s="122"/>
      <c r="R28" s="121"/>
      <c r="S28" s="121"/>
      <c r="T28" s="122"/>
      <c r="U28" s="122"/>
      <c r="V28" s="121"/>
      <c r="W28" s="122"/>
      <c r="X28" s="121"/>
      <c r="Y28" s="122"/>
      <c r="Z28" s="122"/>
      <c r="AA28" s="121"/>
      <c r="AB28" s="25" t="s">
        <v>97</v>
      </c>
      <c r="AC28" s="25" t="s">
        <v>98</v>
      </c>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Passable</v>
      </c>
      <c r="AN28" s="121"/>
      <c r="AO28" s="122"/>
      <c r="AP28" s="25" t="s">
        <v>154</v>
      </c>
    </row>
    <row r="29" spans="1:42" ht="30" x14ac:dyDescent="0.25">
      <c r="A29" s="82">
        <v>44097</v>
      </c>
      <c r="B29" s="76"/>
      <c r="C29" s="25">
        <v>2020092301</v>
      </c>
      <c r="D29" s="25" t="s">
        <v>92</v>
      </c>
      <c r="E29" s="77">
        <v>11</v>
      </c>
      <c r="F29" s="78">
        <v>636474</v>
      </c>
      <c r="G29" s="79">
        <v>5483873</v>
      </c>
      <c r="H29" s="77" t="s">
        <v>152</v>
      </c>
      <c r="I29" s="77" t="s">
        <v>155</v>
      </c>
      <c r="J29" s="80"/>
      <c r="K29" s="77"/>
      <c r="L29" s="25" t="s">
        <v>143</v>
      </c>
      <c r="M29" s="25" t="s">
        <v>144</v>
      </c>
      <c r="N29" s="114">
        <v>8</v>
      </c>
      <c r="O29" s="114">
        <v>1.2</v>
      </c>
      <c r="P29" s="121"/>
      <c r="Q29" s="122"/>
      <c r="R29" s="121"/>
      <c r="S29" s="121"/>
      <c r="T29" s="122"/>
      <c r="U29" s="122"/>
      <c r="V29" s="121"/>
      <c r="W29" s="122"/>
      <c r="X29" s="121"/>
      <c r="Y29" s="122"/>
      <c r="Z29" s="122"/>
      <c r="AA29" s="121"/>
      <c r="AB29" s="25" t="s">
        <v>97</v>
      </c>
      <c r="AC29" s="25" t="s">
        <v>98</v>
      </c>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Passable</v>
      </c>
      <c r="AN29" s="121"/>
      <c r="AO29" s="122"/>
      <c r="AP29" s="25" t="s">
        <v>156</v>
      </c>
    </row>
    <row r="30" spans="1:42" ht="30" x14ac:dyDescent="0.25">
      <c r="A30" s="82">
        <v>44097</v>
      </c>
      <c r="B30" s="76"/>
      <c r="C30" s="25">
        <v>4600077</v>
      </c>
      <c r="D30" s="25" t="s">
        <v>92</v>
      </c>
      <c r="E30" s="77">
        <v>11</v>
      </c>
      <c r="F30" s="78">
        <v>639864</v>
      </c>
      <c r="G30" s="79">
        <v>5483627</v>
      </c>
      <c r="H30" s="77" t="s">
        <v>106</v>
      </c>
      <c r="I30" s="77" t="s">
        <v>157</v>
      </c>
      <c r="J30" s="80"/>
      <c r="K30" s="77"/>
      <c r="L30" s="25" t="s">
        <v>95</v>
      </c>
      <c r="M30" s="25" t="s">
        <v>96</v>
      </c>
      <c r="N30" s="114">
        <v>0.75</v>
      </c>
      <c r="O30" s="114">
        <v>20</v>
      </c>
      <c r="P30" s="116" t="s">
        <v>98</v>
      </c>
      <c r="Q30" s="114">
        <v>0.1</v>
      </c>
      <c r="R30" s="116" t="s">
        <v>98</v>
      </c>
      <c r="S30" s="116" t="s">
        <v>97</v>
      </c>
      <c r="T30" s="122"/>
      <c r="U30" s="114">
        <v>4</v>
      </c>
      <c r="V30" s="116">
        <v>0</v>
      </c>
      <c r="W30" s="114">
        <v>0</v>
      </c>
      <c r="X30" s="116" t="s">
        <v>97</v>
      </c>
      <c r="Y30" s="114">
        <v>0.5</v>
      </c>
      <c r="Z30" s="114">
        <v>2.7</v>
      </c>
      <c r="AA30" s="116">
        <v>0.5</v>
      </c>
      <c r="AB30" s="25" t="s">
        <v>97</v>
      </c>
      <c r="AC30" s="25" t="s">
        <v>97</v>
      </c>
      <c r="AD30" s="116" t="s">
        <v>99</v>
      </c>
      <c r="AE30" s="116" t="s">
        <v>102</v>
      </c>
      <c r="AF30" s="22">
        <f t="shared" si="8"/>
        <v>3.6</v>
      </c>
      <c r="AG30" s="15">
        <f t="shared" si="1"/>
        <v>3</v>
      </c>
      <c r="AH30" s="7">
        <f t="shared" si="2"/>
        <v>5</v>
      </c>
      <c r="AI30" s="7">
        <f t="shared" si="3"/>
        <v>0</v>
      </c>
      <c r="AJ30" s="7">
        <f t="shared" si="4"/>
        <v>0</v>
      </c>
      <c r="AK30" s="12">
        <f t="shared" si="5"/>
        <v>6</v>
      </c>
      <c r="AL30" s="14">
        <f t="shared" si="9"/>
        <v>14</v>
      </c>
      <c r="AM30" s="16" t="str">
        <f t="shared" si="7"/>
        <v>Passable</v>
      </c>
      <c r="AN30" s="121"/>
      <c r="AO30" s="122"/>
      <c r="AP30" s="25" t="s">
        <v>158</v>
      </c>
    </row>
    <row r="31" spans="1:42" ht="30" x14ac:dyDescent="0.25">
      <c r="A31" s="82">
        <v>44097</v>
      </c>
      <c r="B31" s="76"/>
      <c r="C31" s="25">
        <v>4600102</v>
      </c>
      <c r="D31" s="25" t="s">
        <v>159</v>
      </c>
      <c r="E31" s="77">
        <v>11</v>
      </c>
      <c r="F31" s="78">
        <v>640306</v>
      </c>
      <c r="G31" s="79">
        <v>5481672</v>
      </c>
      <c r="H31" s="77" t="s">
        <v>106</v>
      </c>
      <c r="I31" s="77" t="s">
        <v>160</v>
      </c>
      <c r="J31" s="80"/>
      <c r="K31" s="77" t="s">
        <v>150</v>
      </c>
      <c r="L31" s="25" t="s">
        <v>95</v>
      </c>
      <c r="M31" s="25" t="s">
        <v>96</v>
      </c>
      <c r="N31" s="114">
        <v>0.5</v>
      </c>
      <c r="O31" s="114">
        <v>16</v>
      </c>
      <c r="P31" s="116" t="s">
        <v>97</v>
      </c>
      <c r="Q31" s="122"/>
      <c r="R31" s="116" t="s">
        <v>97</v>
      </c>
      <c r="S31" s="116" t="s">
        <v>97</v>
      </c>
      <c r="T31" s="122"/>
      <c r="U31" s="114">
        <v>1</v>
      </c>
      <c r="V31" s="116">
        <v>0</v>
      </c>
      <c r="W31" s="114">
        <v>0</v>
      </c>
      <c r="X31" s="116" t="s">
        <v>97</v>
      </c>
      <c r="Y31" s="114"/>
      <c r="Z31" s="114">
        <v>0.5</v>
      </c>
      <c r="AA31" s="116">
        <v>0</v>
      </c>
      <c r="AB31" s="25" t="s">
        <v>97</v>
      </c>
      <c r="AC31" s="25" t="s">
        <v>97</v>
      </c>
      <c r="AD31" s="116" t="s">
        <v>99</v>
      </c>
      <c r="AE31" s="116" t="s">
        <v>102</v>
      </c>
      <c r="AF31" s="22">
        <f t="shared" si="8"/>
        <v>1</v>
      </c>
      <c r="AG31" s="15">
        <f t="shared" si="1"/>
        <v>3</v>
      </c>
      <c r="AH31" s="7">
        <f t="shared" si="2"/>
        <v>10</v>
      </c>
      <c r="AI31" s="7">
        <f t="shared" si="3"/>
        <v>0</v>
      </c>
      <c r="AJ31" s="7">
        <f t="shared" si="4"/>
        <v>0</v>
      </c>
      <c r="AK31" s="12">
        <f t="shared" si="5"/>
        <v>3</v>
      </c>
      <c r="AL31" s="14">
        <f t="shared" si="9"/>
        <v>16</v>
      </c>
      <c r="AM31" s="16" t="str">
        <f t="shared" si="7"/>
        <v>Potential</v>
      </c>
      <c r="AN31" s="116"/>
      <c r="AO31" s="114"/>
      <c r="AP31" s="25" t="s">
        <v>161</v>
      </c>
    </row>
    <row r="32" spans="1:42" ht="30" x14ac:dyDescent="0.25">
      <c r="A32" s="82">
        <v>44097</v>
      </c>
      <c r="B32" s="76"/>
      <c r="C32" s="25">
        <v>4603265</v>
      </c>
      <c r="D32" s="25" t="s">
        <v>92</v>
      </c>
      <c r="E32" s="77">
        <v>11</v>
      </c>
      <c r="F32" s="78">
        <v>640287</v>
      </c>
      <c r="G32" s="79">
        <v>5481650</v>
      </c>
      <c r="H32" s="77" t="s">
        <v>106</v>
      </c>
      <c r="I32" s="77" t="s">
        <v>162</v>
      </c>
      <c r="J32" s="80"/>
      <c r="K32" s="77"/>
      <c r="L32" s="25" t="s">
        <v>95</v>
      </c>
      <c r="M32" s="25" t="s">
        <v>96</v>
      </c>
      <c r="N32" s="114">
        <v>0.6</v>
      </c>
      <c r="O32" s="114">
        <v>13</v>
      </c>
      <c r="P32" s="116" t="s">
        <v>97</v>
      </c>
      <c r="Q32" s="122"/>
      <c r="R32" s="116" t="s">
        <v>97</v>
      </c>
      <c r="S32" s="116" t="s">
        <v>97</v>
      </c>
      <c r="T32" s="122"/>
      <c r="U32" s="114">
        <v>3</v>
      </c>
      <c r="V32" s="116">
        <v>0</v>
      </c>
      <c r="W32" s="114">
        <v>0</v>
      </c>
      <c r="X32" s="116" t="s">
        <v>97</v>
      </c>
      <c r="Y32" s="114">
        <v>0.5</v>
      </c>
      <c r="Z32" s="114">
        <v>0.5</v>
      </c>
      <c r="AA32" s="116">
        <v>0</v>
      </c>
      <c r="AB32" s="25" t="s">
        <v>97</v>
      </c>
      <c r="AC32" s="25" t="s">
        <v>97</v>
      </c>
      <c r="AD32" s="116" t="s">
        <v>99</v>
      </c>
      <c r="AE32" s="116" t="s">
        <v>102</v>
      </c>
      <c r="AF32" s="22">
        <f t="shared" si="8"/>
        <v>0.83333333333333337</v>
      </c>
      <c r="AG32" s="15">
        <f t="shared" si="1"/>
        <v>0</v>
      </c>
      <c r="AH32" s="7">
        <f t="shared" si="2"/>
        <v>10</v>
      </c>
      <c r="AI32" s="7">
        <f t="shared" si="3"/>
        <v>0</v>
      </c>
      <c r="AJ32" s="7">
        <f t="shared" si="4"/>
        <v>0</v>
      </c>
      <c r="AK32" s="12">
        <f t="shared" si="5"/>
        <v>0</v>
      </c>
      <c r="AL32" s="14">
        <f t="shared" si="9"/>
        <v>10</v>
      </c>
      <c r="AM32" s="16" t="str">
        <f t="shared" si="7"/>
        <v>Passable</v>
      </c>
      <c r="AN32" s="121"/>
      <c r="AO32" s="122"/>
      <c r="AP32" s="25" t="s">
        <v>163</v>
      </c>
    </row>
    <row r="33" spans="1:42" ht="30" x14ac:dyDescent="0.25">
      <c r="A33" s="82">
        <v>44097</v>
      </c>
      <c r="B33" s="76"/>
      <c r="C33" s="25">
        <v>4600008</v>
      </c>
      <c r="D33" s="25" t="s">
        <v>92</v>
      </c>
      <c r="E33" s="77">
        <v>11</v>
      </c>
      <c r="F33" s="78">
        <v>640268</v>
      </c>
      <c r="G33" s="79">
        <v>5481377</v>
      </c>
      <c r="H33" s="77" t="s">
        <v>106</v>
      </c>
      <c r="I33" s="77" t="s">
        <v>164</v>
      </c>
      <c r="J33" s="80"/>
      <c r="K33" s="77" t="s">
        <v>150</v>
      </c>
      <c r="L33" s="25" t="s">
        <v>95</v>
      </c>
      <c r="M33" s="25" t="s">
        <v>96</v>
      </c>
      <c r="N33" s="114">
        <v>0.65</v>
      </c>
      <c r="O33" s="114">
        <v>11</v>
      </c>
      <c r="P33" s="116" t="s">
        <v>98</v>
      </c>
      <c r="Q33" s="114">
        <v>0.1</v>
      </c>
      <c r="R33" s="116" t="s">
        <v>98</v>
      </c>
      <c r="S33" s="116" t="s">
        <v>97</v>
      </c>
      <c r="T33" s="122"/>
      <c r="U33" s="114">
        <v>1.2</v>
      </c>
      <c r="V33" s="116">
        <v>0</v>
      </c>
      <c r="W33" s="114">
        <v>0</v>
      </c>
      <c r="X33" s="116" t="s">
        <v>97</v>
      </c>
      <c r="Y33" s="114">
        <v>0.5</v>
      </c>
      <c r="Z33" s="114">
        <v>1.2</v>
      </c>
      <c r="AA33" s="116">
        <v>0.5</v>
      </c>
      <c r="AB33" s="25" t="s">
        <v>97</v>
      </c>
      <c r="AC33" s="25" t="s">
        <v>97</v>
      </c>
      <c r="AD33" s="116" t="s">
        <v>99</v>
      </c>
      <c r="AE33" s="116" t="s">
        <v>102</v>
      </c>
      <c r="AF33" s="22">
        <f t="shared" si="8"/>
        <v>1.846153846153846</v>
      </c>
      <c r="AG33" s="15">
        <f t="shared" si="1"/>
        <v>0</v>
      </c>
      <c r="AH33" s="7">
        <f t="shared" si="2"/>
        <v>5</v>
      </c>
      <c r="AI33" s="7">
        <f t="shared" si="3"/>
        <v>0</v>
      </c>
      <c r="AJ33" s="7">
        <f t="shared" si="4"/>
        <v>0</v>
      </c>
      <c r="AK33" s="12">
        <f t="shared" si="5"/>
        <v>6</v>
      </c>
      <c r="AL33" s="14">
        <f t="shared" si="9"/>
        <v>11</v>
      </c>
      <c r="AM33" s="16" t="str">
        <f t="shared" si="7"/>
        <v>Passable</v>
      </c>
      <c r="AN33" s="121"/>
      <c r="AO33" s="122"/>
      <c r="AP33" s="25" t="s">
        <v>165</v>
      </c>
    </row>
    <row r="34" spans="1:42" ht="30" x14ac:dyDescent="0.25">
      <c r="A34" s="82">
        <v>44097</v>
      </c>
      <c r="B34" s="76"/>
      <c r="C34" s="25">
        <v>2020092302</v>
      </c>
      <c r="D34" s="25" t="s">
        <v>92</v>
      </c>
      <c r="E34" s="77">
        <v>11</v>
      </c>
      <c r="F34" s="78">
        <v>640218</v>
      </c>
      <c r="G34" s="79">
        <v>5481065</v>
      </c>
      <c r="H34" s="77" t="s">
        <v>106</v>
      </c>
      <c r="I34" s="77" t="s">
        <v>166</v>
      </c>
      <c r="J34" s="80"/>
      <c r="K34" s="77"/>
      <c r="L34" s="25" t="s">
        <v>95</v>
      </c>
      <c r="M34" s="25" t="s">
        <v>96</v>
      </c>
      <c r="N34" s="114">
        <v>0.6</v>
      </c>
      <c r="O34" s="114">
        <v>14</v>
      </c>
      <c r="P34" s="116" t="s">
        <v>98</v>
      </c>
      <c r="Q34" s="114">
        <v>0.03</v>
      </c>
      <c r="R34" s="116" t="s">
        <v>98</v>
      </c>
      <c r="S34" s="116" t="s">
        <v>97</v>
      </c>
      <c r="T34" s="122"/>
      <c r="U34" s="114">
        <v>1.2</v>
      </c>
      <c r="V34" s="116">
        <v>0</v>
      </c>
      <c r="W34" s="114">
        <v>0</v>
      </c>
      <c r="X34" s="116" t="s">
        <v>97</v>
      </c>
      <c r="Y34" s="114">
        <v>0.5</v>
      </c>
      <c r="Z34" s="114">
        <v>1.5</v>
      </c>
      <c r="AA34" s="116">
        <v>0</v>
      </c>
      <c r="AB34" s="25" t="s">
        <v>97</v>
      </c>
      <c r="AC34" s="25" t="s">
        <v>97</v>
      </c>
      <c r="AD34" s="116" t="s">
        <v>99</v>
      </c>
      <c r="AE34" s="116" t="s">
        <v>102</v>
      </c>
      <c r="AF34" s="22">
        <f t="shared" si="8"/>
        <v>2.5</v>
      </c>
      <c r="AG34" s="15">
        <f t="shared" si="1"/>
        <v>0</v>
      </c>
      <c r="AH34" s="7">
        <f t="shared" si="2"/>
        <v>5</v>
      </c>
      <c r="AI34" s="7">
        <f t="shared" si="3"/>
        <v>0</v>
      </c>
      <c r="AJ34" s="7">
        <f t="shared" si="4"/>
        <v>0</v>
      </c>
      <c r="AK34" s="12">
        <f t="shared" si="5"/>
        <v>6</v>
      </c>
      <c r="AL34" s="14">
        <f t="shared" si="9"/>
        <v>11</v>
      </c>
      <c r="AM34" s="16" t="str">
        <f t="shared" si="7"/>
        <v>Passable</v>
      </c>
      <c r="AN34" s="121"/>
      <c r="AO34" s="122"/>
      <c r="AP34" s="25" t="s">
        <v>163</v>
      </c>
    </row>
    <row r="35" spans="1:42" ht="30" x14ac:dyDescent="0.25">
      <c r="A35" s="82">
        <v>44097</v>
      </c>
      <c r="B35" s="76"/>
      <c r="C35" s="25">
        <v>2020092303</v>
      </c>
      <c r="D35" s="25" t="s">
        <v>92</v>
      </c>
      <c r="E35" s="77">
        <v>11</v>
      </c>
      <c r="F35" s="78">
        <v>640227</v>
      </c>
      <c r="G35" s="79">
        <v>5481028</v>
      </c>
      <c r="H35" s="77" t="s">
        <v>106</v>
      </c>
      <c r="I35" s="77" t="s">
        <v>121</v>
      </c>
      <c r="J35" s="80"/>
      <c r="K35" s="77"/>
      <c r="L35" s="25" t="s">
        <v>95</v>
      </c>
      <c r="M35" s="25"/>
      <c r="N35" s="114">
        <v>0.6</v>
      </c>
      <c r="O35" s="114">
        <v>15</v>
      </c>
      <c r="P35" s="116" t="s">
        <v>97</v>
      </c>
      <c r="Q35" s="122"/>
      <c r="R35" s="116" t="s">
        <v>97</v>
      </c>
      <c r="S35" s="116" t="s">
        <v>97</v>
      </c>
      <c r="T35" s="122"/>
      <c r="U35" s="114">
        <v>1</v>
      </c>
      <c r="V35" s="116">
        <v>0</v>
      </c>
      <c r="W35" s="114">
        <v>0</v>
      </c>
      <c r="X35" s="116" t="s">
        <v>97</v>
      </c>
      <c r="Y35" s="114">
        <v>0.5</v>
      </c>
      <c r="Z35" s="114">
        <v>1.5</v>
      </c>
      <c r="AA35" s="116">
        <v>2</v>
      </c>
      <c r="AB35" s="25" t="s">
        <v>97</v>
      </c>
      <c r="AC35" s="25" t="s">
        <v>97</v>
      </c>
      <c r="AD35" s="116" t="s">
        <v>99</v>
      </c>
      <c r="AE35" s="116" t="s">
        <v>102</v>
      </c>
      <c r="AF35" s="22">
        <f t="shared" si="8"/>
        <v>2.5</v>
      </c>
      <c r="AG35" s="15">
        <f t="shared" si="1"/>
        <v>3</v>
      </c>
      <c r="AH35" s="7">
        <f t="shared" si="2"/>
        <v>10</v>
      </c>
      <c r="AI35" s="7">
        <f t="shared" si="3"/>
        <v>0</v>
      </c>
      <c r="AJ35" s="7">
        <f t="shared" si="4"/>
        <v>0</v>
      </c>
      <c r="AK35" s="12">
        <f t="shared" si="5"/>
        <v>6</v>
      </c>
      <c r="AL35" s="14">
        <f t="shared" si="9"/>
        <v>19</v>
      </c>
      <c r="AM35" s="16" t="str">
        <f t="shared" si="7"/>
        <v>Potential</v>
      </c>
      <c r="AN35" s="116"/>
      <c r="AO35" s="114"/>
      <c r="AP35" s="25" t="s">
        <v>167</v>
      </c>
    </row>
    <row r="36" spans="1:42" ht="30" x14ac:dyDescent="0.25">
      <c r="A36" s="82">
        <v>44090</v>
      </c>
      <c r="B36" s="76"/>
      <c r="C36" s="25">
        <v>4605636</v>
      </c>
      <c r="D36" s="25" t="s">
        <v>168</v>
      </c>
      <c r="E36" s="77">
        <v>11</v>
      </c>
      <c r="F36" s="78">
        <v>644148</v>
      </c>
      <c r="G36" s="79">
        <v>5564425</v>
      </c>
      <c r="H36" s="77" t="s">
        <v>106</v>
      </c>
      <c r="I36" s="77" t="s">
        <v>94</v>
      </c>
      <c r="J36" s="80">
        <v>123</v>
      </c>
      <c r="K36" s="77"/>
      <c r="L36" s="25" t="s">
        <v>143</v>
      </c>
      <c r="M36" s="25" t="s">
        <v>169</v>
      </c>
      <c r="N36" s="114">
        <v>2.5</v>
      </c>
      <c r="O36" s="114">
        <v>14.5</v>
      </c>
      <c r="P36" s="121"/>
      <c r="Q36" s="122"/>
      <c r="R36" s="121"/>
      <c r="S36" s="121"/>
      <c r="T36" s="122"/>
      <c r="U36" s="122"/>
      <c r="V36" s="121"/>
      <c r="W36" s="122"/>
      <c r="X36" s="121"/>
      <c r="Y36" s="122"/>
      <c r="Z36" s="122"/>
      <c r="AA36" s="121"/>
      <c r="AB36" s="25" t="s">
        <v>97</v>
      </c>
      <c r="AC36" s="25" t="s">
        <v>97</v>
      </c>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Passable</v>
      </c>
      <c r="AN36" s="121"/>
      <c r="AO36" s="122"/>
      <c r="AP36" s="25" t="s">
        <v>170</v>
      </c>
    </row>
    <row r="37" spans="1:42" ht="30" x14ac:dyDescent="0.25">
      <c r="A37" s="82">
        <v>44090</v>
      </c>
      <c r="B37" s="76"/>
      <c r="C37" s="25">
        <v>4605707</v>
      </c>
      <c r="D37" s="25" t="s">
        <v>168</v>
      </c>
      <c r="E37" s="77">
        <v>11</v>
      </c>
      <c r="F37" s="78">
        <v>643981</v>
      </c>
      <c r="G37" s="79">
        <v>5561132</v>
      </c>
      <c r="H37" s="77" t="s">
        <v>106</v>
      </c>
      <c r="I37" s="77" t="s">
        <v>94</v>
      </c>
      <c r="J37" s="80">
        <v>119.8</v>
      </c>
      <c r="K37" s="77"/>
      <c r="L37" s="25" t="s">
        <v>95</v>
      </c>
      <c r="M37" s="25" t="s">
        <v>96</v>
      </c>
      <c r="N37" s="114">
        <v>0.6</v>
      </c>
      <c r="O37" s="114">
        <v>11</v>
      </c>
      <c r="P37" s="116" t="s">
        <v>97</v>
      </c>
      <c r="Q37" s="122"/>
      <c r="R37" s="116" t="s">
        <v>97</v>
      </c>
      <c r="S37" s="116" t="s">
        <v>97</v>
      </c>
      <c r="T37" s="122"/>
      <c r="U37" s="114">
        <v>0.4</v>
      </c>
      <c r="V37" s="116">
        <v>0</v>
      </c>
      <c r="W37" s="114">
        <v>0</v>
      </c>
      <c r="X37" s="116" t="s">
        <v>97</v>
      </c>
      <c r="Y37" s="114">
        <v>1.5</v>
      </c>
      <c r="Z37" s="114">
        <v>2.2999999999999998</v>
      </c>
      <c r="AA37" s="116">
        <v>1</v>
      </c>
      <c r="AB37" s="25" t="s">
        <v>97</v>
      </c>
      <c r="AC37" s="25" t="s">
        <v>97</v>
      </c>
      <c r="AD37" s="116" t="s">
        <v>99</v>
      </c>
      <c r="AE37" s="116" t="s">
        <v>102</v>
      </c>
      <c r="AF37" s="22">
        <f t="shared" si="8"/>
        <v>3.833333333333333</v>
      </c>
      <c r="AG37" s="15">
        <f t="shared" si="1"/>
        <v>0</v>
      </c>
      <c r="AH37" s="7">
        <f t="shared" si="2"/>
        <v>10</v>
      </c>
      <c r="AI37" s="7">
        <f t="shared" si="3"/>
        <v>0</v>
      </c>
      <c r="AJ37" s="7">
        <f t="shared" si="4"/>
        <v>5</v>
      </c>
      <c r="AK37" s="12">
        <f t="shared" si="5"/>
        <v>6</v>
      </c>
      <c r="AL37" s="14">
        <f t="shared" si="9"/>
        <v>21</v>
      </c>
      <c r="AM37" s="16" t="str">
        <f t="shared" si="7"/>
        <v>Barrier</v>
      </c>
      <c r="AN37" s="116"/>
      <c r="AO37" s="114"/>
      <c r="AP37" s="25" t="s">
        <v>171</v>
      </c>
    </row>
    <row r="38" spans="1:42" x14ac:dyDescent="0.25">
      <c r="A38" s="82">
        <v>44090</v>
      </c>
      <c r="B38" s="76"/>
      <c r="C38" s="25">
        <v>4605742</v>
      </c>
      <c r="D38" s="25" t="s">
        <v>168</v>
      </c>
      <c r="E38" s="77">
        <v>11</v>
      </c>
      <c r="F38" s="78">
        <v>643578</v>
      </c>
      <c r="G38" s="79">
        <v>5560087</v>
      </c>
      <c r="H38" s="77" t="s">
        <v>172</v>
      </c>
      <c r="I38" s="77" t="s">
        <v>94</v>
      </c>
      <c r="J38" s="80">
        <v>118.7</v>
      </c>
      <c r="K38" s="77"/>
      <c r="L38" s="25" t="s">
        <v>95</v>
      </c>
      <c r="M38" s="25" t="s">
        <v>96</v>
      </c>
      <c r="N38" s="114">
        <v>1.5</v>
      </c>
      <c r="O38" s="114">
        <v>15</v>
      </c>
      <c r="P38" s="116" t="s">
        <v>98</v>
      </c>
      <c r="Q38" s="114">
        <v>0.125</v>
      </c>
      <c r="R38" s="116" t="s">
        <v>98</v>
      </c>
      <c r="S38" s="116" t="s">
        <v>97</v>
      </c>
      <c r="T38" s="122"/>
      <c r="U38" s="114">
        <v>0.3</v>
      </c>
      <c r="V38" s="116">
        <v>0</v>
      </c>
      <c r="W38" s="114">
        <v>0.2</v>
      </c>
      <c r="X38" s="116" t="s">
        <v>97</v>
      </c>
      <c r="Y38" s="114">
        <v>1.5</v>
      </c>
      <c r="Z38" s="114">
        <v>2.5</v>
      </c>
      <c r="AA38" s="116">
        <v>3.5</v>
      </c>
      <c r="AB38" s="25" t="s">
        <v>97</v>
      </c>
      <c r="AC38" s="25" t="s">
        <v>97</v>
      </c>
      <c r="AD38" s="116" t="s">
        <v>99</v>
      </c>
      <c r="AE38" s="116" t="s">
        <v>128</v>
      </c>
      <c r="AF38" s="22">
        <f t="shared" si="8"/>
        <v>1.6666666666666667</v>
      </c>
      <c r="AG38" s="15">
        <f t="shared" si="1"/>
        <v>3</v>
      </c>
      <c r="AH38" s="7">
        <f t="shared" si="2"/>
        <v>5</v>
      </c>
      <c r="AI38" s="7">
        <f t="shared" si="3"/>
        <v>0</v>
      </c>
      <c r="AJ38" s="7">
        <f t="shared" si="4"/>
        <v>5</v>
      </c>
      <c r="AK38" s="12">
        <f t="shared" si="5"/>
        <v>6</v>
      </c>
      <c r="AL38" s="14">
        <f t="shared" si="9"/>
        <v>19</v>
      </c>
      <c r="AM38" s="16" t="str">
        <f t="shared" si="7"/>
        <v>Potential</v>
      </c>
      <c r="AN38" s="116"/>
      <c r="AO38" s="114"/>
      <c r="AP38" s="25" t="s">
        <v>214</v>
      </c>
    </row>
    <row r="39" spans="1:42" ht="30" x14ac:dyDescent="0.25">
      <c r="A39" s="82">
        <v>44090</v>
      </c>
      <c r="B39" s="76"/>
      <c r="C39" s="25">
        <v>4605649</v>
      </c>
      <c r="D39" s="25" t="s">
        <v>168</v>
      </c>
      <c r="E39" s="77">
        <v>11</v>
      </c>
      <c r="F39" s="78">
        <v>645873</v>
      </c>
      <c r="G39" s="79">
        <v>5556758</v>
      </c>
      <c r="H39" s="77" t="s">
        <v>106</v>
      </c>
      <c r="I39" s="77" t="s">
        <v>94</v>
      </c>
      <c r="J39" s="80">
        <v>114.5</v>
      </c>
      <c r="K39" s="77"/>
      <c r="L39" s="25" t="s">
        <v>95</v>
      </c>
      <c r="M39" s="25" t="s">
        <v>96</v>
      </c>
      <c r="N39" s="114">
        <v>0.9</v>
      </c>
      <c r="O39" s="114">
        <v>17</v>
      </c>
      <c r="P39" s="116" t="s">
        <v>97</v>
      </c>
      <c r="Q39" s="122"/>
      <c r="R39" s="116" t="s">
        <v>97</v>
      </c>
      <c r="S39" s="116" t="s">
        <v>98</v>
      </c>
      <c r="T39" s="114">
        <v>100</v>
      </c>
      <c r="U39" s="114">
        <v>1.5</v>
      </c>
      <c r="V39" s="116">
        <v>0</v>
      </c>
      <c r="W39" s="114">
        <v>0.6</v>
      </c>
      <c r="X39" s="116" t="s">
        <v>97</v>
      </c>
      <c r="Y39" s="114">
        <v>0.5</v>
      </c>
      <c r="Z39" s="114">
        <v>1</v>
      </c>
      <c r="AA39" s="116">
        <v>2.5</v>
      </c>
      <c r="AB39" s="25" t="s">
        <v>97</v>
      </c>
      <c r="AC39" s="25" t="s">
        <v>97</v>
      </c>
      <c r="AD39" s="116" t="s">
        <v>99</v>
      </c>
      <c r="AE39" s="116" t="s">
        <v>100</v>
      </c>
      <c r="AF39" s="22">
        <f t="shared" si="8"/>
        <v>1.1111111111111112</v>
      </c>
      <c r="AG39" s="15">
        <f t="shared" si="1"/>
        <v>3</v>
      </c>
      <c r="AH39" s="7">
        <f t="shared" si="2"/>
        <v>10</v>
      </c>
      <c r="AI39" s="7">
        <f t="shared" si="3"/>
        <v>0</v>
      </c>
      <c r="AJ39" s="7">
        <f t="shared" si="4"/>
        <v>0</v>
      </c>
      <c r="AK39" s="12">
        <f t="shared" si="5"/>
        <v>3</v>
      </c>
      <c r="AL39" s="14">
        <f t="shared" si="9"/>
        <v>16</v>
      </c>
      <c r="AM39" s="16" t="str">
        <f t="shared" si="7"/>
        <v>Potential</v>
      </c>
      <c r="AN39" s="116"/>
      <c r="AO39" s="114"/>
      <c r="AP39" s="25" t="s">
        <v>213</v>
      </c>
    </row>
    <row r="40" spans="1:42" ht="30" x14ac:dyDescent="0.25">
      <c r="A40" s="82">
        <v>44090</v>
      </c>
      <c r="B40" s="76"/>
      <c r="C40" s="25">
        <v>4605732</v>
      </c>
      <c r="D40" s="25" t="s">
        <v>168</v>
      </c>
      <c r="E40" s="77">
        <v>11</v>
      </c>
      <c r="F40" s="78">
        <v>646735</v>
      </c>
      <c r="G40" s="79">
        <v>5554534</v>
      </c>
      <c r="H40" s="77" t="s">
        <v>106</v>
      </c>
      <c r="I40" s="77" t="s">
        <v>94</v>
      </c>
      <c r="J40" s="80">
        <v>112.3</v>
      </c>
      <c r="K40" s="77"/>
      <c r="L40" s="25" t="s">
        <v>95</v>
      </c>
      <c r="M40" s="25" t="s">
        <v>96</v>
      </c>
      <c r="N40" s="114">
        <v>1.5</v>
      </c>
      <c r="O40" s="114">
        <v>49</v>
      </c>
      <c r="P40" s="116" t="s">
        <v>97</v>
      </c>
      <c r="Q40" s="122"/>
      <c r="R40" s="116" t="s">
        <v>97</v>
      </c>
      <c r="S40" s="116" t="s">
        <v>97</v>
      </c>
      <c r="T40" s="122"/>
      <c r="U40" s="114">
        <v>8</v>
      </c>
      <c r="V40" s="116">
        <v>1.48</v>
      </c>
      <c r="W40" s="114">
        <v>1.3</v>
      </c>
      <c r="X40" s="116" t="s">
        <v>98</v>
      </c>
      <c r="Y40" s="114">
        <v>3.5</v>
      </c>
      <c r="Z40" s="114">
        <v>3.5</v>
      </c>
      <c r="AA40" s="116">
        <v>1.5</v>
      </c>
      <c r="AB40" s="25" t="s">
        <v>97</v>
      </c>
      <c r="AC40" s="25" t="s">
        <v>97</v>
      </c>
      <c r="AD40" s="116" t="s">
        <v>99</v>
      </c>
      <c r="AE40" s="116" t="s">
        <v>128</v>
      </c>
      <c r="AF40" s="22">
        <f t="shared" si="8"/>
        <v>2.3333333333333335</v>
      </c>
      <c r="AG40" s="15">
        <f t="shared" si="1"/>
        <v>6</v>
      </c>
      <c r="AH40" s="7">
        <f t="shared" si="2"/>
        <v>10</v>
      </c>
      <c r="AI40" s="7">
        <f t="shared" si="3"/>
        <v>10</v>
      </c>
      <c r="AJ40" s="7">
        <f t="shared" si="4"/>
        <v>10</v>
      </c>
      <c r="AK40" s="12">
        <f t="shared" si="5"/>
        <v>6</v>
      </c>
      <c r="AL40" s="14">
        <f t="shared" si="9"/>
        <v>42</v>
      </c>
      <c r="AM40" s="16" t="str">
        <f t="shared" si="7"/>
        <v>Barrier</v>
      </c>
      <c r="AN40" s="116" t="s">
        <v>212</v>
      </c>
      <c r="AO40" s="114">
        <v>20</v>
      </c>
      <c r="AP40" s="25" t="s">
        <v>216</v>
      </c>
    </row>
    <row r="41" spans="1:42" ht="30" x14ac:dyDescent="0.25">
      <c r="A41" s="82">
        <v>44091</v>
      </c>
      <c r="B41" s="76"/>
      <c r="C41" s="25">
        <v>4600090</v>
      </c>
      <c r="D41" s="25" t="s">
        <v>168</v>
      </c>
      <c r="E41" s="77">
        <v>11</v>
      </c>
      <c r="F41" s="78">
        <v>651814</v>
      </c>
      <c r="G41" s="79">
        <v>5519652</v>
      </c>
      <c r="H41" s="77" t="s">
        <v>106</v>
      </c>
      <c r="I41" s="77" t="s">
        <v>114</v>
      </c>
      <c r="J41" s="80"/>
      <c r="K41" s="77"/>
      <c r="L41" s="25" t="s">
        <v>95</v>
      </c>
      <c r="M41" s="25"/>
      <c r="N41" s="114">
        <v>0.45</v>
      </c>
      <c r="O41" s="114">
        <v>18</v>
      </c>
      <c r="P41" s="116" t="s">
        <v>97</v>
      </c>
      <c r="Q41" s="122"/>
      <c r="R41" s="116" t="s">
        <v>97</v>
      </c>
      <c r="S41" s="116" t="s">
        <v>97</v>
      </c>
      <c r="T41" s="122"/>
      <c r="U41" s="114">
        <v>1</v>
      </c>
      <c r="V41" s="116">
        <v>0</v>
      </c>
      <c r="W41" s="114">
        <v>0</v>
      </c>
      <c r="X41" s="116" t="s">
        <v>97</v>
      </c>
      <c r="Y41" s="114">
        <v>1.5</v>
      </c>
      <c r="Z41" s="114">
        <v>0</v>
      </c>
      <c r="AA41" s="116">
        <v>0</v>
      </c>
      <c r="AB41" s="25" t="s">
        <v>97</v>
      </c>
      <c r="AC41" s="25" t="s">
        <v>97</v>
      </c>
      <c r="AD41" s="116" t="s">
        <v>99</v>
      </c>
      <c r="AE41" s="116" t="s">
        <v>102</v>
      </c>
      <c r="AF41" s="22">
        <f t="shared" si="8"/>
        <v>0</v>
      </c>
      <c r="AG41" s="15">
        <f t="shared" si="1"/>
        <v>3</v>
      </c>
      <c r="AH41" s="7">
        <f t="shared" si="2"/>
        <v>10</v>
      </c>
      <c r="AI41" s="7">
        <f t="shared" si="3"/>
        <v>0</v>
      </c>
      <c r="AJ41" s="7">
        <f t="shared" si="4"/>
        <v>5</v>
      </c>
      <c r="AK41" s="12">
        <f t="shared" si="5"/>
        <v>0</v>
      </c>
      <c r="AL41" s="14">
        <f t="shared" si="9"/>
        <v>18</v>
      </c>
      <c r="AM41" s="16" t="str">
        <f t="shared" si="7"/>
        <v>Potential</v>
      </c>
      <c r="AN41" s="116"/>
      <c r="AO41" s="114"/>
      <c r="AP41" s="25" t="s">
        <v>218</v>
      </c>
    </row>
    <row r="42" spans="1:42" ht="30" x14ac:dyDescent="0.25">
      <c r="A42" s="82">
        <v>44091</v>
      </c>
      <c r="B42" s="76"/>
      <c r="C42" s="25">
        <v>4600092</v>
      </c>
      <c r="D42" s="25" t="s">
        <v>168</v>
      </c>
      <c r="E42" s="77">
        <v>11</v>
      </c>
      <c r="F42" s="78">
        <v>651701</v>
      </c>
      <c r="G42" s="79">
        <v>5521881</v>
      </c>
      <c r="H42" s="77" t="s">
        <v>139</v>
      </c>
      <c r="I42" s="77" t="s">
        <v>114</v>
      </c>
      <c r="J42" s="80"/>
      <c r="K42" s="77"/>
      <c r="L42" s="25" t="s">
        <v>95</v>
      </c>
      <c r="M42" s="25" t="s">
        <v>96</v>
      </c>
      <c r="N42" s="114">
        <v>0.8</v>
      </c>
      <c r="O42" s="114">
        <v>17.5</v>
      </c>
      <c r="P42" s="116" t="s">
        <v>97</v>
      </c>
      <c r="Q42" s="122"/>
      <c r="R42" s="116" t="s">
        <v>97</v>
      </c>
      <c r="S42" s="116" t="s">
        <v>97</v>
      </c>
      <c r="T42" s="122"/>
      <c r="U42" s="114">
        <v>0.6</v>
      </c>
      <c r="V42" s="116">
        <v>0</v>
      </c>
      <c r="W42" s="114">
        <v>0</v>
      </c>
      <c r="X42" s="116" t="s">
        <v>97</v>
      </c>
      <c r="Y42" s="114">
        <v>3</v>
      </c>
      <c r="Z42" s="114">
        <v>1.5</v>
      </c>
      <c r="AA42" s="116">
        <v>2.5</v>
      </c>
      <c r="AB42" s="25" t="s">
        <v>97</v>
      </c>
      <c r="AC42" s="25" t="s">
        <v>97</v>
      </c>
      <c r="AD42" s="116" t="s">
        <v>99</v>
      </c>
      <c r="AE42" s="116" t="s">
        <v>102</v>
      </c>
      <c r="AF42" s="22">
        <f t="shared" si="8"/>
        <v>1.875</v>
      </c>
      <c r="AG42" s="15">
        <f t="shared" si="1"/>
        <v>3</v>
      </c>
      <c r="AH42" s="7">
        <f t="shared" si="2"/>
        <v>10</v>
      </c>
      <c r="AI42" s="7">
        <f t="shared" si="3"/>
        <v>0</v>
      </c>
      <c r="AJ42" s="7">
        <f t="shared" si="4"/>
        <v>10</v>
      </c>
      <c r="AK42" s="12">
        <f t="shared" si="5"/>
        <v>6</v>
      </c>
      <c r="AL42" s="14">
        <f t="shared" si="9"/>
        <v>29</v>
      </c>
      <c r="AM42" s="16" t="str">
        <f t="shared" si="7"/>
        <v>Barrier</v>
      </c>
      <c r="AN42" s="116"/>
      <c r="AO42" s="114"/>
      <c r="AP42" s="25" t="s">
        <v>173</v>
      </c>
    </row>
    <row r="43" spans="1:42" x14ac:dyDescent="0.25">
      <c r="A43" s="82">
        <v>44091</v>
      </c>
      <c r="B43" s="76"/>
      <c r="C43" s="25">
        <v>4600039</v>
      </c>
      <c r="D43" s="25" t="s">
        <v>168</v>
      </c>
      <c r="E43" s="77">
        <v>11</v>
      </c>
      <c r="F43" s="78">
        <v>651833</v>
      </c>
      <c r="G43" s="79">
        <v>5522544</v>
      </c>
      <c r="H43" s="77" t="s">
        <v>118</v>
      </c>
      <c r="I43" s="77" t="s">
        <v>114</v>
      </c>
      <c r="J43" s="80"/>
      <c r="K43" s="77"/>
      <c r="L43" s="25" t="s">
        <v>95</v>
      </c>
      <c r="M43" s="25" t="s">
        <v>96</v>
      </c>
      <c r="N43" s="114">
        <v>0.45</v>
      </c>
      <c r="O43" s="114">
        <v>16</v>
      </c>
      <c r="P43" s="116" t="s">
        <v>98</v>
      </c>
      <c r="Q43" s="114">
        <v>7.0000000000000007E-2</v>
      </c>
      <c r="R43" s="116" t="s">
        <v>98</v>
      </c>
      <c r="S43" s="116" t="s">
        <v>97</v>
      </c>
      <c r="T43" s="122"/>
      <c r="U43" s="114">
        <v>1</v>
      </c>
      <c r="V43" s="116">
        <v>0</v>
      </c>
      <c r="W43" s="114">
        <v>7.0000000000000007E-2</v>
      </c>
      <c r="X43" s="116" t="s">
        <v>97</v>
      </c>
      <c r="Y43" s="114">
        <v>3.5</v>
      </c>
      <c r="Z43" s="114">
        <v>3.8</v>
      </c>
      <c r="AA43" s="116">
        <v>1</v>
      </c>
      <c r="AB43" s="25" t="s">
        <v>97</v>
      </c>
      <c r="AC43" s="25" t="s">
        <v>97</v>
      </c>
      <c r="AD43" s="116" t="s">
        <v>99</v>
      </c>
      <c r="AE43" s="116" t="s">
        <v>100</v>
      </c>
      <c r="AF43" s="22">
        <f t="shared" si="8"/>
        <v>8.4444444444444446</v>
      </c>
      <c r="AG43" s="15">
        <f t="shared" si="1"/>
        <v>3</v>
      </c>
      <c r="AH43" s="7">
        <f t="shared" si="2"/>
        <v>5</v>
      </c>
      <c r="AI43" s="7">
        <f t="shared" si="3"/>
        <v>0</v>
      </c>
      <c r="AJ43" s="7">
        <f t="shared" si="4"/>
        <v>10</v>
      </c>
      <c r="AK43" s="12">
        <f t="shared" si="5"/>
        <v>6</v>
      </c>
      <c r="AL43" s="14">
        <f t="shared" si="9"/>
        <v>24</v>
      </c>
      <c r="AM43" s="16" t="str">
        <f t="shared" si="7"/>
        <v>Barrier</v>
      </c>
      <c r="AN43" s="116"/>
      <c r="AO43" s="114"/>
      <c r="AP43" s="25" t="s">
        <v>174</v>
      </c>
    </row>
    <row r="44" spans="1:42" x14ac:dyDescent="0.25">
      <c r="A44" s="82">
        <v>44091</v>
      </c>
      <c r="B44" s="76"/>
      <c r="C44" s="25">
        <v>4600070</v>
      </c>
      <c r="D44" s="25" t="s">
        <v>168</v>
      </c>
      <c r="E44" s="77">
        <v>11</v>
      </c>
      <c r="F44" s="78">
        <v>651516</v>
      </c>
      <c r="G44" s="79">
        <v>5528829</v>
      </c>
      <c r="H44" s="77" t="s">
        <v>125</v>
      </c>
      <c r="I44" s="77" t="s">
        <v>131</v>
      </c>
      <c r="J44" s="80"/>
      <c r="K44" s="77" t="s">
        <v>150</v>
      </c>
      <c r="L44" s="25" t="s">
        <v>95</v>
      </c>
      <c r="M44" s="25" t="s">
        <v>96</v>
      </c>
      <c r="N44" s="114">
        <v>2.5</v>
      </c>
      <c r="O44" s="114">
        <v>35</v>
      </c>
      <c r="P44" s="116" t="s">
        <v>98</v>
      </c>
      <c r="Q44" s="114">
        <v>0.05</v>
      </c>
      <c r="R44" s="116" t="s">
        <v>98</v>
      </c>
      <c r="S44" s="116" t="s">
        <v>97</v>
      </c>
      <c r="T44" s="122"/>
      <c r="U44" s="114">
        <v>3</v>
      </c>
      <c r="V44" s="116">
        <v>0</v>
      </c>
      <c r="W44" s="114">
        <v>1.7</v>
      </c>
      <c r="X44" s="116" t="s">
        <v>97</v>
      </c>
      <c r="Y44" s="114">
        <v>2.5</v>
      </c>
      <c r="Z44" s="114">
        <v>6.1</v>
      </c>
      <c r="AA44" s="116">
        <v>1.5</v>
      </c>
      <c r="AB44" s="25" t="s">
        <v>97</v>
      </c>
      <c r="AC44" s="25" t="s">
        <v>98</v>
      </c>
      <c r="AD44" s="116" t="s">
        <v>99</v>
      </c>
      <c r="AE44" s="116" t="s">
        <v>100</v>
      </c>
      <c r="AF44" s="22">
        <f t="shared" si="8"/>
        <v>2.44</v>
      </c>
      <c r="AG44" s="15">
        <f t="shared" si="1"/>
        <v>6</v>
      </c>
      <c r="AH44" s="7">
        <f t="shared" si="2"/>
        <v>5</v>
      </c>
      <c r="AI44" s="7">
        <f t="shared" si="3"/>
        <v>0</v>
      </c>
      <c r="AJ44" s="7">
        <f t="shared" si="4"/>
        <v>5</v>
      </c>
      <c r="AK44" s="12">
        <f t="shared" si="5"/>
        <v>6</v>
      </c>
      <c r="AL44" s="14">
        <f t="shared" si="9"/>
        <v>22</v>
      </c>
      <c r="AM44" s="16" t="str">
        <f t="shared" si="7"/>
        <v>Barrier</v>
      </c>
      <c r="AN44" s="116"/>
      <c r="AO44" s="114"/>
      <c r="AP44" s="25" t="s">
        <v>217</v>
      </c>
    </row>
    <row r="45" spans="1:42" ht="30" x14ac:dyDescent="0.25">
      <c r="A45" s="82">
        <v>44092</v>
      </c>
      <c r="B45" s="76"/>
      <c r="C45" s="25">
        <v>4600181</v>
      </c>
      <c r="D45" s="25" t="s">
        <v>168</v>
      </c>
      <c r="E45" s="77">
        <v>11</v>
      </c>
      <c r="F45" s="78">
        <v>652322</v>
      </c>
      <c r="G45" s="79">
        <v>5527529</v>
      </c>
      <c r="H45" s="77" t="s">
        <v>106</v>
      </c>
      <c r="I45" s="77" t="s">
        <v>175</v>
      </c>
      <c r="J45" s="80"/>
      <c r="K45" s="77"/>
      <c r="L45" s="25" t="s">
        <v>95</v>
      </c>
      <c r="M45" s="25"/>
      <c r="N45" s="114">
        <v>0.6</v>
      </c>
      <c r="O45" s="114">
        <v>73</v>
      </c>
      <c r="P45" s="116" t="s">
        <v>97</v>
      </c>
      <c r="Q45" s="122"/>
      <c r="R45" s="116" t="s">
        <v>97</v>
      </c>
      <c r="S45" s="116" t="s">
        <v>97</v>
      </c>
      <c r="T45" s="122"/>
      <c r="U45" s="114">
        <v>3.5</v>
      </c>
      <c r="V45" s="116">
        <v>0</v>
      </c>
      <c r="W45" s="114">
        <v>0</v>
      </c>
      <c r="X45" s="116" t="s">
        <v>97</v>
      </c>
      <c r="Y45" s="114">
        <v>2</v>
      </c>
      <c r="Z45" s="114"/>
      <c r="AA45" s="116"/>
      <c r="AB45" s="25" t="s">
        <v>97</v>
      </c>
      <c r="AC45" s="25" t="s">
        <v>97</v>
      </c>
      <c r="AD45" s="116" t="s">
        <v>99</v>
      </c>
      <c r="AE45" s="116" t="s">
        <v>102</v>
      </c>
      <c r="AF45" s="22">
        <f t="shared" si="8"/>
        <v>0</v>
      </c>
      <c r="AG45" s="15">
        <f t="shared" si="1"/>
        <v>6</v>
      </c>
      <c r="AH45" s="7">
        <f t="shared" si="2"/>
        <v>10</v>
      </c>
      <c r="AI45" s="7">
        <f t="shared" si="3"/>
        <v>0</v>
      </c>
      <c r="AJ45" s="7">
        <f t="shared" si="4"/>
        <v>5</v>
      </c>
      <c r="AK45" s="12">
        <f t="shared" si="5"/>
        <v>0</v>
      </c>
      <c r="AL45" s="14">
        <f t="shared" si="9"/>
        <v>21</v>
      </c>
      <c r="AM45" s="16" t="str">
        <f t="shared" si="7"/>
        <v>Barrier</v>
      </c>
      <c r="AN45" s="116"/>
      <c r="AO45" s="114"/>
      <c r="AP45" s="25" t="s">
        <v>176</v>
      </c>
    </row>
    <row r="46" spans="1:42" x14ac:dyDescent="0.25">
      <c r="A46" s="82">
        <v>44092</v>
      </c>
      <c r="B46" s="76"/>
      <c r="C46" s="25">
        <v>4600186</v>
      </c>
      <c r="D46" s="25" t="s">
        <v>168</v>
      </c>
      <c r="E46" s="77">
        <v>11</v>
      </c>
      <c r="F46" s="78">
        <v>651051</v>
      </c>
      <c r="G46" s="79">
        <v>5519343</v>
      </c>
      <c r="H46" s="77" t="s">
        <v>177</v>
      </c>
      <c r="I46" s="77" t="s">
        <v>131</v>
      </c>
      <c r="J46" s="80"/>
      <c r="K46" s="77" t="s">
        <v>150</v>
      </c>
      <c r="L46" s="25" t="s">
        <v>95</v>
      </c>
      <c r="M46" s="25" t="s">
        <v>96</v>
      </c>
      <c r="N46" s="114">
        <v>0.8</v>
      </c>
      <c r="O46" s="114">
        <v>22</v>
      </c>
      <c r="P46" s="116" t="s">
        <v>97</v>
      </c>
      <c r="Q46" s="122"/>
      <c r="R46" s="116" t="s">
        <v>97</v>
      </c>
      <c r="S46" s="116" t="s">
        <v>97</v>
      </c>
      <c r="T46" s="122"/>
      <c r="U46" s="114">
        <v>0.8</v>
      </c>
      <c r="V46" s="116">
        <v>0.46</v>
      </c>
      <c r="W46" s="114">
        <v>0.36</v>
      </c>
      <c r="X46" s="116" t="s">
        <v>97</v>
      </c>
      <c r="Y46" s="114">
        <v>4</v>
      </c>
      <c r="Z46" s="114">
        <v>1.1000000000000001</v>
      </c>
      <c r="AA46" s="116">
        <v>2</v>
      </c>
      <c r="AB46" s="25" t="s">
        <v>97</v>
      </c>
      <c r="AC46" s="25" t="s">
        <v>97</v>
      </c>
      <c r="AD46" s="116" t="s">
        <v>99</v>
      </c>
      <c r="AE46" s="116" t="s">
        <v>102</v>
      </c>
      <c r="AF46" s="22">
        <f t="shared" si="8"/>
        <v>1.375</v>
      </c>
      <c r="AG46" s="15">
        <f t="shared" si="1"/>
        <v>3</v>
      </c>
      <c r="AH46" s="7">
        <f t="shared" si="2"/>
        <v>10</v>
      </c>
      <c r="AI46" s="7">
        <f t="shared" si="3"/>
        <v>10</v>
      </c>
      <c r="AJ46" s="7">
        <f t="shared" si="4"/>
        <v>10</v>
      </c>
      <c r="AK46" s="12">
        <f t="shared" si="5"/>
        <v>6</v>
      </c>
      <c r="AL46" s="14">
        <f t="shared" si="9"/>
        <v>39</v>
      </c>
      <c r="AM46" s="16" t="str">
        <f t="shared" si="7"/>
        <v>Barrier</v>
      </c>
      <c r="AN46" s="116"/>
      <c r="AO46" s="114"/>
      <c r="AP46" s="25" t="s">
        <v>219</v>
      </c>
    </row>
    <row r="47" spans="1:42" x14ac:dyDescent="0.25">
      <c r="A47" s="82">
        <v>44092</v>
      </c>
      <c r="B47" s="76"/>
      <c r="C47" s="25">
        <v>4600140</v>
      </c>
      <c r="D47" s="25" t="s">
        <v>168</v>
      </c>
      <c r="E47" s="77">
        <v>11</v>
      </c>
      <c r="F47" s="78">
        <v>651110</v>
      </c>
      <c r="G47" s="79">
        <v>5515356</v>
      </c>
      <c r="H47" s="77" t="s">
        <v>178</v>
      </c>
      <c r="I47" s="77" t="s">
        <v>131</v>
      </c>
      <c r="J47" s="80"/>
      <c r="K47" s="77" t="s">
        <v>150</v>
      </c>
      <c r="L47" s="25" t="s">
        <v>95</v>
      </c>
      <c r="M47" s="25" t="s">
        <v>96</v>
      </c>
      <c r="N47" s="114">
        <v>0.9</v>
      </c>
      <c r="O47" s="114">
        <v>22</v>
      </c>
      <c r="P47" s="116" t="s">
        <v>97</v>
      </c>
      <c r="Q47" s="122"/>
      <c r="R47" s="116" t="s">
        <v>97</v>
      </c>
      <c r="S47" s="116" t="s">
        <v>97</v>
      </c>
      <c r="T47" s="122"/>
      <c r="U47" s="114">
        <v>3</v>
      </c>
      <c r="V47" s="116">
        <v>0.18</v>
      </c>
      <c r="W47" s="114">
        <v>0</v>
      </c>
      <c r="X47" s="116" t="s">
        <v>97</v>
      </c>
      <c r="Y47" s="114">
        <v>1.5</v>
      </c>
      <c r="Z47" s="114">
        <v>0.6</v>
      </c>
      <c r="AA47" s="116">
        <v>2</v>
      </c>
      <c r="AB47" s="25" t="s">
        <v>97</v>
      </c>
      <c r="AC47" s="25" t="s">
        <v>97</v>
      </c>
      <c r="AD47" s="116" t="s">
        <v>99</v>
      </c>
      <c r="AE47" s="116" t="s">
        <v>102</v>
      </c>
      <c r="AF47" s="22">
        <f t="shared" si="8"/>
        <v>0.66666666666666663</v>
      </c>
      <c r="AG47" s="15">
        <f t="shared" si="1"/>
        <v>3</v>
      </c>
      <c r="AH47" s="7">
        <f t="shared" si="2"/>
        <v>10</v>
      </c>
      <c r="AI47" s="7">
        <f t="shared" si="3"/>
        <v>5</v>
      </c>
      <c r="AJ47" s="7">
        <f t="shared" si="4"/>
        <v>5</v>
      </c>
      <c r="AK47" s="12">
        <f t="shared" si="5"/>
        <v>0</v>
      </c>
      <c r="AL47" s="14">
        <f t="shared" si="9"/>
        <v>23</v>
      </c>
      <c r="AM47" s="16" t="str">
        <f t="shared" si="7"/>
        <v>Barrier</v>
      </c>
      <c r="AN47" s="116"/>
      <c r="AO47" s="114"/>
      <c r="AP47" s="25" t="s">
        <v>220</v>
      </c>
    </row>
    <row r="48" spans="1:42" x14ac:dyDescent="0.25">
      <c r="A48" s="82">
        <v>44094</v>
      </c>
      <c r="B48" s="76"/>
      <c r="C48" s="25">
        <v>4601129</v>
      </c>
      <c r="D48" s="25" t="s">
        <v>168</v>
      </c>
      <c r="E48" s="77">
        <v>11</v>
      </c>
      <c r="F48" s="78">
        <v>661062</v>
      </c>
      <c r="G48" s="79">
        <v>5524446</v>
      </c>
      <c r="H48" s="77" t="s">
        <v>179</v>
      </c>
      <c r="I48" s="77"/>
      <c r="J48" s="80"/>
      <c r="K48" s="77"/>
      <c r="L48" s="25" t="s">
        <v>133</v>
      </c>
      <c r="M48" s="25" t="s">
        <v>134</v>
      </c>
      <c r="N48" s="122"/>
      <c r="O48" s="122"/>
      <c r="P48" s="121"/>
      <c r="Q48" s="122"/>
      <c r="R48" s="121"/>
      <c r="S48" s="121"/>
      <c r="T48" s="122"/>
      <c r="U48" s="122"/>
      <c r="V48" s="121"/>
      <c r="W48" s="122"/>
      <c r="X48" s="121"/>
      <c r="Y48" s="122"/>
      <c r="Z48" s="122"/>
      <c r="AA48" s="121"/>
      <c r="AB48" s="25" t="s">
        <v>97</v>
      </c>
      <c r="AC48" s="25" t="s">
        <v>97</v>
      </c>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16"/>
      <c r="AO48" s="114"/>
      <c r="AP48" s="25" t="s">
        <v>180</v>
      </c>
    </row>
    <row r="49" spans="1:42" x14ac:dyDescent="0.25">
      <c r="A49" s="82">
        <v>44094</v>
      </c>
      <c r="B49" s="76"/>
      <c r="C49" s="25">
        <v>4602533</v>
      </c>
      <c r="D49" s="25" t="s">
        <v>168</v>
      </c>
      <c r="E49" s="77">
        <v>11</v>
      </c>
      <c r="F49" s="78">
        <v>661172</v>
      </c>
      <c r="G49" s="79">
        <v>5524451</v>
      </c>
      <c r="H49" s="77" t="s">
        <v>179</v>
      </c>
      <c r="I49" s="77"/>
      <c r="J49" s="80"/>
      <c r="K49" s="77"/>
      <c r="L49" s="25" t="s">
        <v>95</v>
      </c>
      <c r="M49" s="25" t="s">
        <v>96</v>
      </c>
      <c r="N49" s="114">
        <v>0.6</v>
      </c>
      <c r="O49" s="114">
        <v>7.5</v>
      </c>
      <c r="P49" s="116" t="s">
        <v>97</v>
      </c>
      <c r="Q49" s="122"/>
      <c r="R49" s="116" t="s">
        <v>97</v>
      </c>
      <c r="S49" s="116" t="s">
        <v>97</v>
      </c>
      <c r="T49" s="122"/>
      <c r="U49" s="114">
        <v>0.35</v>
      </c>
      <c r="V49" s="116">
        <v>0</v>
      </c>
      <c r="W49" s="114">
        <v>0</v>
      </c>
      <c r="X49" s="116" t="s">
        <v>97</v>
      </c>
      <c r="Y49" s="114">
        <v>4</v>
      </c>
      <c r="Z49" s="114"/>
      <c r="AA49" s="116"/>
      <c r="AB49" s="25" t="s">
        <v>97</v>
      </c>
      <c r="AC49" s="25" t="s">
        <v>97</v>
      </c>
      <c r="AD49" s="116" t="s">
        <v>99</v>
      </c>
      <c r="AE49" s="116" t="s">
        <v>102</v>
      </c>
      <c r="AF49" s="22">
        <f t="shared" si="8"/>
        <v>0</v>
      </c>
      <c r="AG49" s="15">
        <f t="shared" si="1"/>
        <v>0</v>
      </c>
      <c r="AH49" s="7">
        <f t="shared" si="2"/>
        <v>10</v>
      </c>
      <c r="AI49" s="7">
        <f t="shared" si="3"/>
        <v>0</v>
      </c>
      <c r="AJ49" s="7">
        <f t="shared" si="4"/>
        <v>10</v>
      </c>
      <c r="AK49" s="12">
        <f t="shared" si="5"/>
        <v>0</v>
      </c>
      <c r="AL49" s="14">
        <f t="shared" si="9"/>
        <v>20</v>
      </c>
      <c r="AM49" s="16" t="str">
        <f t="shared" si="7"/>
        <v>Barrier</v>
      </c>
      <c r="AN49" s="116"/>
      <c r="AO49" s="114"/>
      <c r="AP49" s="25" t="s">
        <v>181</v>
      </c>
    </row>
    <row r="50" spans="1:42" ht="30" x14ac:dyDescent="0.25">
      <c r="A50" s="82">
        <v>44094</v>
      </c>
      <c r="B50" s="76"/>
      <c r="C50" s="25">
        <v>4602270</v>
      </c>
      <c r="D50" s="25" t="s">
        <v>168</v>
      </c>
      <c r="E50" s="77">
        <v>11</v>
      </c>
      <c r="F50" s="78">
        <v>655441</v>
      </c>
      <c r="G50" s="79">
        <v>5524175</v>
      </c>
      <c r="H50" s="77" t="s">
        <v>182</v>
      </c>
      <c r="I50" s="77"/>
      <c r="J50" s="80"/>
      <c r="K50" s="77"/>
      <c r="L50" s="25" t="s">
        <v>95</v>
      </c>
      <c r="M50" s="25" t="s">
        <v>96</v>
      </c>
      <c r="N50" s="114">
        <v>0.9</v>
      </c>
      <c r="O50" s="114">
        <v>14</v>
      </c>
      <c r="P50" s="116" t="s">
        <v>97</v>
      </c>
      <c r="Q50" s="122"/>
      <c r="R50" s="116" t="s">
        <v>97</v>
      </c>
      <c r="S50" s="116" t="s">
        <v>97</v>
      </c>
      <c r="T50" s="122"/>
      <c r="U50" s="114">
        <v>2</v>
      </c>
      <c r="V50" s="116">
        <v>0</v>
      </c>
      <c r="W50" s="114">
        <v>0</v>
      </c>
      <c r="X50" s="116" t="s">
        <v>98</v>
      </c>
      <c r="Y50" s="114">
        <v>4</v>
      </c>
      <c r="Z50" s="114">
        <v>1.5</v>
      </c>
      <c r="AA50" s="116">
        <v>3</v>
      </c>
      <c r="AB50" s="25" t="s">
        <v>97</v>
      </c>
      <c r="AC50" s="25" t="s">
        <v>97</v>
      </c>
      <c r="AD50" s="116" t="s">
        <v>99</v>
      </c>
      <c r="AE50" s="116" t="s">
        <v>102</v>
      </c>
      <c r="AF50" s="22">
        <f t="shared" si="8"/>
        <v>1.6666666666666665</v>
      </c>
      <c r="AG50" s="15">
        <f t="shared" si="1"/>
        <v>0</v>
      </c>
      <c r="AH50" s="7">
        <f t="shared" si="2"/>
        <v>10</v>
      </c>
      <c r="AI50" s="7">
        <f t="shared" si="3"/>
        <v>0</v>
      </c>
      <c r="AJ50" s="7">
        <f t="shared" si="4"/>
        <v>10</v>
      </c>
      <c r="AK50" s="12">
        <f t="shared" si="5"/>
        <v>6</v>
      </c>
      <c r="AL50" s="14">
        <f t="shared" si="9"/>
        <v>26</v>
      </c>
      <c r="AM50" s="16" t="str">
        <f t="shared" si="7"/>
        <v>Barrier</v>
      </c>
      <c r="AN50" s="116"/>
      <c r="AO50" s="114"/>
      <c r="AP50" s="25" t="s">
        <v>183</v>
      </c>
    </row>
    <row r="51" spans="1:42" ht="30" x14ac:dyDescent="0.25">
      <c r="A51" s="82">
        <v>44097</v>
      </c>
      <c r="B51" s="76"/>
      <c r="C51" s="25">
        <v>2020092310</v>
      </c>
      <c r="D51" s="25" t="s">
        <v>168</v>
      </c>
      <c r="E51" s="77">
        <v>11</v>
      </c>
      <c r="F51" s="78">
        <v>636029</v>
      </c>
      <c r="G51" s="79">
        <v>5484419</v>
      </c>
      <c r="H51" s="77" t="s">
        <v>152</v>
      </c>
      <c r="I51" s="77" t="s">
        <v>153</v>
      </c>
      <c r="J51" s="80">
        <v>1</v>
      </c>
      <c r="K51" s="77"/>
      <c r="L51" s="25" t="s">
        <v>143</v>
      </c>
      <c r="M51" s="25" t="s">
        <v>144</v>
      </c>
      <c r="N51" s="114">
        <v>13.5</v>
      </c>
      <c r="O51" s="114">
        <v>1.2</v>
      </c>
      <c r="P51" s="121"/>
      <c r="Q51" s="122"/>
      <c r="R51" s="121"/>
      <c r="S51" s="121"/>
      <c r="T51" s="122"/>
      <c r="U51" s="122"/>
      <c r="V51" s="121"/>
      <c r="W51" s="122"/>
      <c r="X51" s="121"/>
      <c r="Y51" s="122"/>
      <c r="Z51" s="122"/>
      <c r="AA51" s="121"/>
      <c r="AB51" s="25" t="s">
        <v>97</v>
      </c>
      <c r="AC51" s="25" t="s">
        <v>97</v>
      </c>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Passable</v>
      </c>
      <c r="AN51" s="121"/>
      <c r="AO51" s="122"/>
      <c r="AP51" s="25" t="s">
        <v>211</v>
      </c>
    </row>
    <row r="52" spans="1:42" ht="30" x14ac:dyDescent="0.25">
      <c r="A52" s="82">
        <v>44097</v>
      </c>
      <c r="B52" s="76"/>
      <c r="C52" s="25">
        <v>4600130</v>
      </c>
      <c r="D52" s="25" t="s">
        <v>168</v>
      </c>
      <c r="E52" s="77">
        <v>11</v>
      </c>
      <c r="F52" s="78">
        <v>640037</v>
      </c>
      <c r="G52" s="79">
        <v>5483655</v>
      </c>
      <c r="H52" s="77" t="s">
        <v>106</v>
      </c>
      <c r="I52" s="77" t="s">
        <v>184</v>
      </c>
      <c r="J52" s="80"/>
      <c r="K52" s="77"/>
      <c r="L52" s="25" t="s">
        <v>95</v>
      </c>
      <c r="M52" s="25" t="s">
        <v>96</v>
      </c>
      <c r="N52" s="114">
        <v>1.2</v>
      </c>
      <c r="O52" s="114">
        <v>22</v>
      </c>
      <c r="P52" s="116" t="s">
        <v>97</v>
      </c>
      <c r="Q52" s="122"/>
      <c r="R52" s="116" t="s">
        <v>97</v>
      </c>
      <c r="S52" s="116" t="s">
        <v>98</v>
      </c>
      <c r="T52" s="114">
        <v>20</v>
      </c>
      <c r="U52" s="114">
        <v>8</v>
      </c>
      <c r="V52" s="116">
        <v>0</v>
      </c>
      <c r="W52" s="114">
        <v>0</v>
      </c>
      <c r="X52" s="116" t="s">
        <v>98</v>
      </c>
      <c r="Y52" s="114">
        <v>9</v>
      </c>
      <c r="Z52" s="114">
        <v>0.65</v>
      </c>
      <c r="AA52" s="116">
        <v>9</v>
      </c>
      <c r="AB52" s="25" t="s">
        <v>97</v>
      </c>
      <c r="AC52" s="25" t="s">
        <v>97</v>
      </c>
      <c r="AD52" s="116" t="s">
        <v>99</v>
      </c>
      <c r="AE52" s="116" t="s">
        <v>102</v>
      </c>
      <c r="AF52" s="22">
        <f t="shared" si="8"/>
        <v>0.54166666666666674</v>
      </c>
      <c r="AG52" s="15">
        <f t="shared" si="1"/>
        <v>3</v>
      </c>
      <c r="AH52" s="7">
        <f t="shared" si="2"/>
        <v>10</v>
      </c>
      <c r="AI52" s="7">
        <f t="shared" si="3"/>
        <v>0</v>
      </c>
      <c r="AJ52" s="7">
        <f t="shared" si="4"/>
        <v>10</v>
      </c>
      <c r="AK52" s="12">
        <f t="shared" si="5"/>
        <v>0</v>
      </c>
      <c r="AL52" s="14">
        <f t="shared" si="9"/>
        <v>23</v>
      </c>
      <c r="AM52" s="16" t="str">
        <f t="shared" si="7"/>
        <v>Barrier</v>
      </c>
      <c r="AN52" s="116"/>
      <c r="AO52" s="114"/>
      <c r="AP52" s="25" t="s">
        <v>185</v>
      </c>
    </row>
    <row r="53" spans="1:42" ht="30" x14ac:dyDescent="0.25">
      <c r="A53" s="82">
        <v>44097</v>
      </c>
      <c r="B53" s="76"/>
      <c r="C53" s="25">
        <v>4606807</v>
      </c>
      <c r="D53" s="25" t="s">
        <v>168</v>
      </c>
      <c r="E53" s="77">
        <v>11</v>
      </c>
      <c r="F53" s="78">
        <v>639952</v>
      </c>
      <c r="G53" s="79">
        <v>5483636</v>
      </c>
      <c r="H53" s="77" t="s">
        <v>106</v>
      </c>
      <c r="I53" s="77" t="s">
        <v>162</v>
      </c>
      <c r="J53" s="80"/>
      <c r="K53" s="77"/>
      <c r="L53" s="25" t="s">
        <v>95</v>
      </c>
      <c r="M53" s="25" t="s">
        <v>186</v>
      </c>
      <c r="N53" s="114">
        <v>1.2</v>
      </c>
      <c r="O53" s="114">
        <v>9</v>
      </c>
      <c r="P53" s="116" t="s">
        <v>98</v>
      </c>
      <c r="Q53" s="114">
        <v>0.09</v>
      </c>
      <c r="R53" s="116" t="s">
        <v>97</v>
      </c>
      <c r="S53" s="116" t="s">
        <v>97</v>
      </c>
      <c r="T53" s="122"/>
      <c r="U53" s="114">
        <v>6</v>
      </c>
      <c r="V53" s="116">
        <v>0</v>
      </c>
      <c r="W53" s="114">
        <v>0</v>
      </c>
      <c r="X53" s="116" t="s">
        <v>97</v>
      </c>
      <c r="Y53" s="114">
        <v>1.5</v>
      </c>
      <c r="Z53" s="114">
        <v>1.5</v>
      </c>
      <c r="AA53" s="116">
        <v>30</v>
      </c>
      <c r="AB53" s="25" t="s">
        <v>97</v>
      </c>
      <c r="AC53" s="25" t="s">
        <v>97</v>
      </c>
      <c r="AD53" s="116" t="s">
        <v>99</v>
      </c>
      <c r="AE53" s="116" t="s">
        <v>102</v>
      </c>
      <c r="AF53" s="22">
        <f t="shared" si="8"/>
        <v>1.25</v>
      </c>
      <c r="AG53" s="15">
        <f t="shared" si="1"/>
        <v>0</v>
      </c>
      <c r="AH53" s="7">
        <f t="shared" si="2"/>
        <v>5</v>
      </c>
      <c r="AI53" s="7">
        <f t="shared" si="3"/>
        <v>0</v>
      </c>
      <c r="AJ53" s="7">
        <f t="shared" si="4"/>
        <v>5</v>
      </c>
      <c r="AK53" s="12">
        <f t="shared" si="5"/>
        <v>3</v>
      </c>
      <c r="AL53" s="14">
        <f t="shared" si="9"/>
        <v>13</v>
      </c>
      <c r="AM53" s="16" t="str">
        <f t="shared" si="7"/>
        <v>Passable</v>
      </c>
      <c r="AN53" s="121"/>
      <c r="AO53" s="122"/>
      <c r="AP53" s="25" t="s">
        <v>187</v>
      </c>
    </row>
    <row r="54" spans="1:42" ht="30" x14ac:dyDescent="0.25">
      <c r="A54" s="82">
        <v>44097</v>
      </c>
      <c r="B54" s="76"/>
      <c r="C54" s="25">
        <v>4600080</v>
      </c>
      <c r="D54" s="25" t="s">
        <v>168</v>
      </c>
      <c r="E54" s="77">
        <v>11</v>
      </c>
      <c r="F54" s="78">
        <v>640568</v>
      </c>
      <c r="G54" s="79">
        <v>5481516</v>
      </c>
      <c r="H54" s="77" t="s">
        <v>106</v>
      </c>
      <c r="I54" s="77" t="s">
        <v>184</v>
      </c>
      <c r="J54" s="80"/>
      <c r="K54" s="77"/>
      <c r="L54" s="25" t="s">
        <v>95</v>
      </c>
      <c r="M54" s="25" t="s">
        <v>96</v>
      </c>
      <c r="N54" s="114">
        <v>1.1000000000000001</v>
      </c>
      <c r="O54" s="114">
        <v>43</v>
      </c>
      <c r="P54" s="116" t="s">
        <v>97</v>
      </c>
      <c r="Q54" s="122"/>
      <c r="R54" s="116" t="s">
        <v>97</v>
      </c>
      <c r="S54" s="116" t="s">
        <v>97</v>
      </c>
      <c r="T54" s="122"/>
      <c r="U54" s="114">
        <v>2</v>
      </c>
      <c r="V54" s="116">
        <v>0</v>
      </c>
      <c r="W54" s="114">
        <v>0</v>
      </c>
      <c r="X54" s="116" t="s">
        <v>97</v>
      </c>
      <c r="Y54" s="114">
        <v>4</v>
      </c>
      <c r="Z54" s="114">
        <v>2.1</v>
      </c>
      <c r="AA54" s="116">
        <v>3.5</v>
      </c>
      <c r="AB54" s="25" t="s">
        <v>97</v>
      </c>
      <c r="AC54" s="25" t="s">
        <v>97</v>
      </c>
      <c r="AD54" s="116" t="s">
        <v>99</v>
      </c>
      <c r="AE54" s="116" t="s">
        <v>102</v>
      </c>
      <c r="AF54" s="22">
        <f t="shared" si="8"/>
        <v>1.9090909090909089</v>
      </c>
      <c r="AG54" s="15">
        <f t="shared" si="1"/>
        <v>6</v>
      </c>
      <c r="AH54" s="7">
        <f t="shared" si="2"/>
        <v>10</v>
      </c>
      <c r="AI54" s="7">
        <f t="shared" si="3"/>
        <v>0</v>
      </c>
      <c r="AJ54" s="7">
        <f t="shared" si="4"/>
        <v>10</v>
      </c>
      <c r="AK54" s="12">
        <f t="shared" si="5"/>
        <v>6</v>
      </c>
      <c r="AL54" s="14">
        <f t="shared" si="9"/>
        <v>32</v>
      </c>
      <c r="AM54" s="16" t="str">
        <f t="shared" si="7"/>
        <v>Barrier</v>
      </c>
      <c r="AN54" s="116"/>
      <c r="AO54" s="114"/>
      <c r="AP54" s="25" t="s">
        <v>188</v>
      </c>
    </row>
    <row r="55" spans="1:42" x14ac:dyDescent="0.25">
      <c r="A55" s="82">
        <v>44097</v>
      </c>
      <c r="B55" s="76"/>
      <c r="C55" s="25">
        <v>4603291</v>
      </c>
      <c r="D55" s="25" t="s">
        <v>168</v>
      </c>
      <c r="E55" s="77">
        <v>11</v>
      </c>
      <c r="F55" s="78">
        <v>640891</v>
      </c>
      <c r="G55" s="79">
        <v>5480517</v>
      </c>
      <c r="H55" s="77" t="s">
        <v>189</v>
      </c>
      <c r="I55" s="77" t="s">
        <v>184</v>
      </c>
      <c r="J55" s="80"/>
      <c r="K55" s="77"/>
      <c r="L55" s="25" t="s">
        <v>95</v>
      </c>
      <c r="M55" s="25" t="s">
        <v>96</v>
      </c>
      <c r="N55" s="114">
        <v>1.2</v>
      </c>
      <c r="O55" s="114">
        <v>13</v>
      </c>
      <c r="P55" s="116" t="s">
        <v>97</v>
      </c>
      <c r="Q55" s="122"/>
      <c r="R55" s="116" t="s">
        <v>97</v>
      </c>
      <c r="S55" s="116" t="s">
        <v>97</v>
      </c>
      <c r="T55" s="122"/>
      <c r="U55" s="114">
        <v>0.5</v>
      </c>
      <c r="V55" s="116">
        <v>0</v>
      </c>
      <c r="W55" s="114">
        <v>0</v>
      </c>
      <c r="X55" s="116" t="s">
        <v>97</v>
      </c>
      <c r="Y55" s="114">
        <v>4</v>
      </c>
      <c r="Z55" s="114">
        <v>4.5</v>
      </c>
      <c r="AA55" s="116">
        <v>4</v>
      </c>
      <c r="AB55" s="25" t="s">
        <v>97</v>
      </c>
      <c r="AC55" s="25" t="s">
        <v>97</v>
      </c>
      <c r="AD55" s="116" t="s">
        <v>99</v>
      </c>
      <c r="AE55" s="116" t="s">
        <v>102</v>
      </c>
      <c r="AF55" s="22">
        <f t="shared" si="8"/>
        <v>3.75</v>
      </c>
      <c r="AG55" s="15">
        <f t="shared" si="1"/>
        <v>0</v>
      </c>
      <c r="AH55" s="7">
        <f t="shared" si="2"/>
        <v>10</v>
      </c>
      <c r="AI55" s="7">
        <f t="shared" si="3"/>
        <v>0</v>
      </c>
      <c r="AJ55" s="7">
        <f t="shared" si="4"/>
        <v>10</v>
      </c>
      <c r="AK55" s="12">
        <f t="shared" si="5"/>
        <v>6</v>
      </c>
      <c r="AL55" s="14">
        <f t="shared" si="9"/>
        <v>26</v>
      </c>
      <c r="AM55" s="16" t="str">
        <f t="shared" si="7"/>
        <v>Barrier</v>
      </c>
      <c r="AN55" s="116"/>
      <c r="AO55" s="114"/>
      <c r="AP55" s="25" t="s">
        <v>190</v>
      </c>
    </row>
    <row r="56" spans="1:42" ht="30" x14ac:dyDescent="0.25">
      <c r="A56" s="82">
        <v>44097</v>
      </c>
      <c r="B56" s="76"/>
      <c r="C56" s="25">
        <v>4600316</v>
      </c>
      <c r="D56" s="25" t="s">
        <v>168</v>
      </c>
      <c r="E56" s="77">
        <v>11</v>
      </c>
      <c r="F56" s="78">
        <v>641167</v>
      </c>
      <c r="G56" s="79">
        <v>5479429</v>
      </c>
      <c r="H56" s="77" t="s">
        <v>106</v>
      </c>
      <c r="I56" s="77" t="s">
        <v>184</v>
      </c>
      <c r="J56" s="80"/>
      <c r="K56" s="77"/>
      <c r="L56" s="25" t="s">
        <v>95</v>
      </c>
      <c r="M56" s="25" t="s">
        <v>96</v>
      </c>
      <c r="N56" s="114">
        <v>1.2</v>
      </c>
      <c r="O56" s="114">
        <v>12</v>
      </c>
      <c r="P56" s="116" t="s">
        <v>97</v>
      </c>
      <c r="Q56" s="122"/>
      <c r="R56" s="116" t="s">
        <v>97</v>
      </c>
      <c r="S56" s="116" t="s">
        <v>97</v>
      </c>
      <c r="T56" s="122"/>
      <c r="U56" s="114">
        <v>0.5</v>
      </c>
      <c r="V56" s="116">
        <v>0</v>
      </c>
      <c r="W56" s="114">
        <v>0</v>
      </c>
      <c r="X56" s="116" t="s">
        <v>97</v>
      </c>
      <c r="Y56" s="114">
        <v>2.5</v>
      </c>
      <c r="Z56" s="114">
        <v>4.0999999999999996</v>
      </c>
      <c r="AA56" s="116">
        <v>4</v>
      </c>
      <c r="AB56" s="25" t="s">
        <v>97</v>
      </c>
      <c r="AC56" s="25" t="s">
        <v>97</v>
      </c>
      <c r="AD56" s="116" t="s">
        <v>99</v>
      </c>
      <c r="AE56" s="116" t="s">
        <v>102</v>
      </c>
      <c r="AF56" s="22">
        <f t="shared" si="8"/>
        <v>3.4166666666666665</v>
      </c>
      <c r="AG56" s="15">
        <f t="shared" si="1"/>
        <v>0</v>
      </c>
      <c r="AH56" s="7">
        <f t="shared" si="2"/>
        <v>10</v>
      </c>
      <c r="AI56" s="7">
        <f t="shared" si="3"/>
        <v>0</v>
      </c>
      <c r="AJ56" s="7">
        <f t="shared" si="4"/>
        <v>5</v>
      </c>
      <c r="AK56" s="12">
        <f t="shared" si="5"/>
        <v>6</v>
      </c>
      <c r="AL56" s="14">
        <f t="shared" si="9"/>
        <v>21</v>
      </c>
      <c r="AM56" s="16" t="str">
        <f t="shared" si="7"/>
        <v>Barrier</v>
      </c>
      <c r="AN56" s="116"/>
      <c r="AO56" s="114"/>
      <c r="AP56" s="25" t="s">
        <v>191</v>
      </c>
    </row>
    <row r="57" spans="1:42" ht="30" x14ac:dyDescent="0.25">
      <c r="A57" s="82">
        <v>44097</v>
      </c>
      <c r="B57" s="76"/>
      <c r="C57" s="25">
        <v>4601594</v>
      </c>
      <c r="D57" s="25" t="s">
        <v>168</v>
      </c>
      <c r="E57" s="77">
        <v>11</v>
      </c>
      <c r="F57" s="78">
        <v>641090</v>
      </c>
      <c r="G57" s="79">
        <v>5479392</v>
      </c>
      <c r="H57" s="77" t="s">
        <v>106</v>
      </c>
      <c r="I57" s="77" t="s">
        <v>162</v>
      </c>
      <c r="J57" s="80"/>
      <c r="K57" s="77"/>
      <c r="L57" s="25" t="s">
        <v>95</v>
      </c>
      <c r="M57" s="25" t="s">
        <v>96</v>
      </c>
      <c r="N57" s="114">
        <v>1.5</v>
      </c>
      <c r="O57" s="114">
        <v>22</v>
      </c>
      <c r="P57" s="116" t="s">
        <v>97</v>
      </c>
      <c r="Q57" s="122"/>
      <c r="R57" s="116" t="s">
        <v>97</v>
      </c>
      <c r="S57" s="116" t="s">
        <v>97</v>
      </c>
      <c r="T57" s="122"/>
      <c r="U57" s="114">
        <v>2</v>
      </c>
      <c r="V57" s="116">
        <v>0</v>
      </c>
      <c r="W57" s="114">
        <v>0</v>
      </c>
      <c r="X57" s="116" t="s">
        <v>97</v>
      </c>
      <c r="Y57" s="114">
        <v>1.5</v>
      </c>
      <c r="Z57" s="114">
        <v>2.7</v>
      </c>
      <c r="AA57" s="116">
        <v>2.5</v>
      </c>
      <c r="AB57" s="25" t="s">
        <v>97</v>
      </c>
      <c r="AC57" s="25" t="s">
        <v>97</v>
      </c>
      <c r="AD57" s="116" t="s">
        <v>99</v>
      </c>
      <c r="AE57" s="116" t="s">
        <v>102</v>
      </c>
      <c r="AF57" s="22">
        <f t="shared" si="8"/>
        <v>1.8</v>
      </c>
      <c r="AG57" s="15">
        <f t="shared" si="1"/>
        <v>3</v>
      </c>
      <c r="AH57" s="7">
        <f t="shared" si="2"/>
        <v>10</v>
      </c>
      <c r="AI57" s="7">
        <f t="shared" si="3"/>
        <v>0</v>
      </c>
      <c r="AJ57" s="7">
        <f t="shared" si="4"/>
        <v>5</v>
      </c>
      <c r="AK57" s="12">
        <f t="shared" si="5"/>
        <v>6</v>
      </c>
      <c r="AL57" s="14">
        <f t="shared" si="9"/>
        <v>24</v>
      </c>
      <c r="AM57" s="16" t="str">
        <f t="shared" si="7"/>
        <v>Barrier</v>
      </c>
      <c r="AN57" s="116"/>
      <c r="AO57" s="114"/>
      <c r="AP57" s="25" t="s">
        <v>192</v>
      </c>
    </row>
    <row r="58" spans="1:42" ht="30" x14ac:dyDescent="0.25">
      <c r="A58" s="82">
        <v>44098</v>
      </c>
      <c r="B58" s="76"/>
      <c r="C58" s="25">
        <v>4600169</v>
      </c>
      <c r="D58" s="25" t="s">
        <v>168</v>
      </c>
      <c r="E58" s="77">
        <v>11</v>
      </c>
      <c r="F58" s="78">
        <v>638850</v>
      </c>
      <c r="G58" s="79">
        <v>5480833</v>
      </c>
      <c r="H58" s="77" t="s">
        <v>106</v>
      </c>
      <c r="I58" s="77" t="s">
        <v>193</v>
      </c>
      <c r="J58" s="80"/>
      <c r="K58" s="77"/>
      <c r="L58" s="25" t="s">
        <v>95</v>
      </c>
      <c r="M58" s="25" t="s">
        <v>96</v>
      </c>
      <c r="N58" s="114">
        <v>1</v>
      </c>
      <c r="O58" s="114">
        <v>36</v>
      </c>
      <c r="P58" s="116" t="s">
        <v>97</v>
      </c>
      <c r="Q58" s="122"/>
      <c r="R58" s="116" t="s">
        <v>97</v>
      </c>
      <c r="S58" s="116" t="s">
        <v>97</v>
      </c>
      <c r="T58" s="122"/>
      <c r="U58" s="114">
        <v>6</v>
      </c>
      <c r="V58" s="116">
        <v>0.2</v>
      </c>
      <c r="W58" s="114">
        <v>0.25</v>
      </c>
      <c r="X58" s="116" t="s">
        <v>97</v>
      </c>
      <c r="Y58" s="114">
        <v>13</v>
      </c>
      <c r="Z58" s="114">
        <v>2.2999999999999998</v>
      </c>
      <c r="AA58" s="116">
        <v>11.5</v>
      </c>
      <c r="AB58" s="25" t="s">
        <v>97</v>
      </c>
      <c r="AC58" s="25" t="s">
        <v>97</v>
      </c>
      <c r="AD58" s="116" t="s">
        <v>99</v>
      </c>
      <c r="AE58" s="116" t="s">
        <v>100</v>
      </c>
      <c r="AF58" s="22">
        <f t="shared" si="8"/>
        <v>2.2999999999999998</v>
      </c>
      <c r="AG58" s="15">
        <f t="shared" si="1"/>
        <v>6</v>
      </c>
      <c r="AH58" s="7">
        <f t="shared" si="2"/>
        <v>10</v>
      </c>
      <c r="AI58" s="7">
        <f t="shared" si="3"/>
        <v>5</v>
      </c>
      <c r="AJ58" s="7">
        <f t="shared" si="4"/>
        <v>10</v>
      </c>
      <c r="AK58" s="12">
        <f t="shared" si="5"/>
        <v>6</v>
      </c>
      <c r="AL58" s="14">
        <f t="shared" si="9"/>
        <v>37</v>
      </c>
      <c r="AM58" s="16" t="str">
        <f t="shared" si="7"/>
        <v>Barrier</v>
      </c>
      <c r="AN58" s="116"/>
      <c r="AO58" s="114"/>
      <c r="AP58" s="25" t="s">
        <v>194</v>
      </c>
    </row>
    <row r="59" spans="1:42" ht="30" x14ac:dyDescent="0.25">
      <c r="A59" s="82">
        <v>44098</v>
      </c>
      <c r="B59" s="76"/>
      <c r="C59" s="25">
        <v>4600134</v>
      </c>
      <c r="D59" s="25" t="s">
        <v>168</v>
      </c>
      <c r="E59" s="77">
        <v>11</v>
      </c>
      <c r="F59" s="78">
        <v>638639</v>
      </c>
      <c r="G59" s="79">
        <v>5480681</v>
      </c>
      <c r="H59" s="77" t="s">
        <v>106</v>
      </c>
      <c r="I59" s="77" t="s">
        <v>195</v>
      </c>
      <c r="J59" s="80"/>
      <c r="K59" s="77"/>
      <c r="L59" s="25" t="s">
        <v>95</v>
      </c>
      <c r="M59" s="25" t="s">
        <v>96</v>
      </c>
      <c r="N59" s="114">
        <v>0.9</v>
      </c>
      <c r="O59" s="114">
        <v>48</v>
      </c>
      <c r="P59" s="116" t="s">
        <v>97</v>
      </c>
      <c r="Q59" s="122"/>
      <c r="R59" s="116" t="s">
        <v>97</v>
      </c>
      <c r="S59" s="116" t="s">
        <v>97</v>
      </c>
      <c r="T59" s="122"/>
      <c r="U59" s="114">
        <v>3</v>
      </c>
      <c r="V59" s="116">
        <v>0.09</v>
      </c>
      <c r="W59" s="114">
        <v>0.22</v>
      </c>
      <c r="X59" s="116" t="s">
        <v>97</v>
      </c>
      <c r="Y59" s="114">
        <v>9</v>
      </c>
      <c r="Z59" s="114">
        <v>1.4</v>
      </c>
      <c r="AA59" s="116">
        <v>5</v>
      </c>
      <c r="AB59" s="25" t="s">
        <v>97</v>
      </c>
      <c r="AC59" s="25" t="s">
        <v>97</v>
      </c>
      <c r="AD59" s="116" t="s">
        <v>99</v>
      </c>
      <c r="AE59" s="116" t="s">
        <v>102</v>
      </c>
      <c r="AF59" s="22">
        <f t="shared" si="8"/>
        <v>1.5555555555555554</v>
      </c>
      <c r="AG59" s="15">
        <f t="shared" si="1"/>
        <v>6</v>
      </c>
      <c r="AH59" s="7">
        <f t="shared" si="2"/>
        <v>10</v>
      </c>
      <c r="AI59" s="7">
        <f t="shared" si="3"/>
        <v>0</v>
      </c>
      <c r="AJ59" s="7">
        <f t="shared" si="4"/>
        <v>10</v>
      </c>
      <c r="AK59" s="12">
        <f t="shared" si="5"/>
        <v>6</v>
      </c>
      <c r="AL59" s="14">
        <f t="shared" si="9"/>
        <v>32</v>
      </c>
      <c r="AM59" s="16" t="str">
        <f t="shared" si="7"/>
        <v>Barrier</v>
      </c>
      <c r="AN59" s="116"/>
      <c r="AO59" s="114"/>
      <c r="AP59" s="25" t="s">
        <v>221</v>
      </c>
    </row>
    <row r="60" spans="1:42" ht="30" x14ac:dyDescent="0.25">
      <c r="A60" s="82">
        <v>44098</v>
      </c>
      <c r="B60" s="76"/>
      <c r="C60" s="25">
        <v>4604455</v>
      </c>
      <c r="D60" s="25" t="s">
        <v>168</v>
      </c>
      <c r="E60" s="77">
        <v>11</v>
      </c>
      <c r="F60" s="78">
        <v>638669</v>
      </c>
      <c r="G60" s="79">
        <v>5480601</v>
      </c>
      <c r="H60" s="77" t="s">
        <v>106</v>
      </c>
      <c r="I60" s="77" t="s">
        <v>195</v>
      </c>
      <c r="J60" s="80"/>
      <c r="K60" s="77"/>
      <c r="L60" s="25" t="s">
        <v>95</v>
      </c>
      <c r="M60" s="25" t="s">
        <v>96</v>
      </c>
      <c r="N60" s="114">
        <v>0.9</v>
      </c>
      <c r="O60" s="114">
        <v>16</v>
      </c>
      <c r="P60" s="116" t="s">
        <v>97</v>
      </c>
      <c r="Q60" s="122"/>
      <c r="R60" s="116" t="s">
        <v>97</v>
      </c>
      <c r="S60" s="116" t="s">
        <v>97</v>
      </c>
      <c r="T60" s="122"/>
      <c r="U60" s="114">
        <v>2</v>
      </c>
      <c r="V60" s="116">
        <v>0.15</v>
      </c>
      <c r="W60" s="114">
        <v>0.2</v>
      </c>
      <c r="X60" s="116" t="s">
        <v>98</v>
      </c>
      <c r="Y60" s="114">
        <v>7</v>
      </c>
      <c r="Z60" s="114">
        <v>1.5</v>
      </c>
      <c r="AA60" s="116">
        <v>9</v>
      </c>
      <c r="AB60" s="25" t="s">
        <v>97</v>
      </c>
      <c r="AC60" s="25" t="s">
        <v>97</v>
      </c>
      <c r="AD60" s="116" t="s">
        <v>99</v>
      </c>
      <c r="AE60" s="116" t="s">
        <v>102</v>
      </c>
      <c r="AF60" s="22">
        <f t="shared" si="8"/>
        <v>1.6666666666666665</v>
      </c>
      <c r="AG60" s="15">
        <f t="shared" si="1"/>
        <v>3</v>
      </c>
      <c r="AH60" s="7">
        <f t="shared" si="2"/>
        <v>10</v>
      </c>
      <c r="AI60" s="7">
        <f t="shared" si="3"/>
        <v>5</v>
      </c>
      <c r="AJ60" s="7">
        <f t="shared" si="4"/>
        <v>10</v>
      </c>
      <c r="AK60" s="12">
        <f t="shared" si="5"/>
        <v>6</v>
      </c>
      <c r="AL60" s="14">
        <f t="shared" si="9"/>
        <v>34</v>
      </c>
      <c r="AM60" s="16" t="str">
        <f t="shared" si="7"/>
        <v>Barrier</v>
      </c>
      <c r="AN60" s="116"/>
      <c r="AO60" s="114"/>
      <c r="AP60" s="25" t="s">
        <v>196</v>
      </c>
    </row>
    <row r="61" spans="1:42" ht="30" x14ac:dyDescent="0.25">
      <c r="A61" s="82">
        <v>44098</v>
      </c>
      <c r="B61" s="76"/>
      <c r="C61" s="25">
        <v>4601639</v>
      </c>
      <c r="D61" s="25" t="s">
        <v>168</v>
      </c>
      <c r="E61" s="77">
        <v>11</v>
      </c>
      <c r="F61" s="78">
        <v>638630</v>
      </c>
      <c r="G61" s="79">
        <v>5480655</v>
      </c>
      <c r="H61" s="77" t="s">
        <v>106</v>
      </c>
      <c r="I61" s="77" t="s">
        <v>195</v>
      </c>
      <c r="J61" s="80"/>
      <c r="K61" s="77"/>
      <c r="L61" s="25" t="s">
        <v>95</v>
      </c>
      <c r="M61" s="25" t="s">
        <v>96</v>
      </c>
      <c r="N61" s="114">
        <v>1.2</v>
      </c>
      <c r="O61" s="114">
        <v>99</v>
      </c>
      <c r="P61" s="116" t="s">
        <v>97</v>
      </c>
      <c r="Q61" s="122"/>
      <c r="R61" s="116" t="s">
        <v>97</v>
      </c>
      <c r="S61" s="116" t="s">
        <v>97</v>
      </c>
      <c r="T61" s="122"/>
      <c r="U61" s="114">
        <v>2.5</v>
      </c>
      <c r="V61" s="116">
        <v>0.73</v>
      </c>
      <c r="W61" s="114">
        <v>0.65</v>
      </c>
      <c r="X61" s="116" t="s">
        <v>98</v>
      </c>
      <c r="Y61" s="114">
        <v>11</v>
      </c>
      <c r="Z61" s="114">
        <v>1.5</v>
      </c>
      <c r="AA61" s="116">
        <v>6</v>
      </c>
      <c r="AB61" s="25" t="s">
        <v>97</v>
      </c>
      <c r="AC61" s="25" t="s">
        <v>97</v>
      </c>
      <c r="AD61" s="116" t="s">
        <v>99</v>
      </c>
      <c r="AE61" s="116" t="s">
        <v>102</v>
      </c>
      <c r="AF61" s="22">
        <f t="shared" si="8"/>
        <v>1.25</v>
      </c>
      <c r="AG61" s="15">
        <f t="shared" si="1"/>
        <v>6</v>
      </c>
      <c r="AH61" s="7">
        <f t="shared" si="2"/>
        <v>10</v>
      </c>
      <c r="AI61" s="7">
        <f t="shared" si="3"/>
        <v>10</v>
      </c>
      <c r="AJ61" s="7">
        <f t="shared" si="4"/>
        <v>10</v>
      </c>
      <c r="AK61" s="12">
        <f t="shared" si="5"/>
        <v>3</v>
      </c>
      <c r="AL61" s="14">
        <f t="shared" si="9"/>
        <v>39</v>
      </c>
      <c r="AM61" s="16" t="str">
        <f t="shared" si="7"/>
        <v>Barrier</v>
      </c>
      <c r="AN61" s="116"/>
      <c r="AO61" s="114"/>
      <c r="AP61" s="25" t="s">
        <v>197</v>
      </c>
    </row>
    <row r="62" spans="1:42" ht="30" x14ac:dyDescent="0.25">
      <c r="A62" s="82">
        <v>44098</v>
      </c>
      <c r="B62" s="76"/>
      <c r="C62" s="25">
        <v>4601556</v>
      </c>
      <c r="D62" s="25" t="s">
        <v>168</v>
      </c>
      <c r="E62" s="77">
        <v>11</v>
      </c>
      <c r="F62" s="78">
        <v>638522</v>
      </c>
      <c r="G62" s="79">
        <v>5480616</v>
      </c>
      <c r="H62" s="77" t="s">
        <v>106</v>
      </c>
      <c r="I62" s="77" t="s">
        <v>195</v>
      </c>
      <c r="J62" s="80"/>
      <c r="K62" s="77"/>
      <c r="L62" s="25" t="s">
        <v>95</v>
      </c>
      <c r="M62" s="25" t="s">
        <v>96</v>
      </c>
      <c r="N62" s="114">
        <v>0.9</v>
      </c>
      <c r="O62" s="114">
        <v>14.5</v>
      </c>
      <c r="P62" s="116" t="s">
        <v>97</v>
      </c>
      <c r="Q62" s="122"/>
      <c r="R62" s="116" t="s">
        <v>97</v>
      </c>
      <c r="S62" s="116" t="s">
        <v>97</v>
      </c>
      <c r="T62" s="122"/>
      <c r="U62" s="114">
        <v>1.2</v>
      </c>
      <c r="V62" s="116">
        <v>0</v>
      </c>
      <c r="W62" s="114">
        <v>0.2</v>
      </c>
      <c r="X62" s="116" t="s">
        <v>98</v>
      </c>
      <c r="Y62" s="114">
        <v>9</v>
      </c>
      <c r="Z62" s="114">
        <v>1.3</v>
      </c>
      <c r="AA62" s="116">
        <v>8</v>
      </c>
      <c r="AB62" s="25" t="s">
        <v>97</v>
      </c>
      <c r="AC62" s="25" t="s">
        <v>97</v>
      </c>
      <c r="AD62" s="116" t="s">
        <v>99</v>
      </c>
      <c r="AE62" s="116" t="s">
        <v>102</v>
      </c>
      <c r="AF62" s="22">
        <f t="shared" si="8"/>
        <v>1.4444444444444444</v>
      </c>
      <c r="AG62" s="15">
        <f t="shared" si="1"/>
        <v>0</v>
      </c>
      <c r="AH62" s="7">
        <f t="shared" si="2"/>
        <v>10</v>
      </c>
      <c r="AI62" s="7">
        <f t="shared" si="3"/>
        <v>0</v>
      </c>
      <c r="AJ62" s="7">
        <f t="shared" si="4"/>
        <v>10</v>
      </c>
      <c r="AK62" s="12">
        <f t="shared" si="5"/>
        <v>6</v>
      </c>
      <c r="AL62" s="14">
        <f t="shared" si="9"/>
        <v>26</v>
      </c>
      <c r="AM62" s="16" t="str">
        <f t="shared" si="7"/>
        <v>Barrier</v>
      </c>
      <c r="AN62" s="116"/>
      <c r="AO62" s="114"/>
      <c r="AP62" s="25" t="s">
        <v>198</v>
      </c>
    </row>
    <row r="63" spans="1:42" ht="30" x14ac:dyDescent="0.25">
      <c r="A63" s="82">
        <v>44098</v>
      </c>
      <c r="B63" s="76"/>
      <c r="C63" s="25">
        <v>4602349</v>
      </c>
      <c r="D63" s="25" t="s">
        <v>168</v>
      </c>
      <c r="E63" s="77">
        <v>11</v>
      </c>
      <c r="F63" s="78">
        <v>638525</v>
      </c>
      <c r="G63" s="79">
        <v>5481496</v>
      </c>
      <c r="H63" s="77" t="s">
        <v>106</v>
      </c>
      <c r="I63" s="77" t="s">
        <v>199</v>
      </c>
      <c r="J63" s="80"/>
      <c r="K63" s="77"/>
      <c r="L63" s="25" t="s">
        <v>95</v>
      </c>
      <c r="M63" s="25" t="s">
        <v>96</v>
      </c>
      <c r="N63" s="114">
        <v>1.2</v>
      </c>
      <c r="O63" s="114">
        <v>10.5</v>
      </c>
      <c r="P63" s="116" t="s">
        <v>97</v>
      </c>
      <c r="Q63" s="122"/>
      <c r="R63" s="116" t="s">
        <v>97</v>
      </c>
      <c r="S63" s="116" t="s">
        <v>98</v>
      </c>
      <c r="T63" s="114">
        <v>20</v>
      </c>
      <c r="U63" s="114">
        <v>1.5</v>
      </c>
      <c r="V63" s="116">
        <v>0</v>
      </c>
      <c r="W63" s="114">
        <v>2</v>
      </c>
      <c r="X63" s="116" t="s">
        <v>97</v>
      </c>
      <c r="Y63" s="114">
        <v>3.5</v>
      </c>
      <c r="Z63" s="114">
        <v>2</v>
      </c>
      <c r="AA63" s="116">
        <v>7</v>
      </c>
      <c r="AB63" s="25" t="s">
        <v>97</v>
      </c>
      <c r="AC63" s="25" t="s">
        <v>97</v>
      </c>
      <c r="AD63" s="116" t="s">
        <v>99</v>
      </c>
      <c r="AE63" s="116" t="s">
        <v>100</v>
      </c>
      <c r="AF63" s="22">
        <f t="shared" si="8"/>
        <v>1.6666666666666667</v>
      </c>
      <c r="AG63" s="15">
        <f t="shared" si="1"/>
        <v>0</v>
      </c>
      <c r="AH63" s="7">
        <f t="shared" si="2"/>
        <v>10</v>
      </c>
      <c r="AI63" s="7">
        <f t="shared" si="3"/>
        <v>0</v>
      </c>
      <c r="AJ63" s="7">
        <f t="shared" si="4"/>
        <v>10</v>
      </c>
      <c r="AK63" s="12">
        <f t="shared" si="5"/>
        <v>6</v>
      </c>
      <c r="AL63" s="14">
        <f t="shared" si="9"/>
        <v>26</v>
      </c>
      <c r="AM63" s="16" t="str">
        <f t="shared" si="7"/>
        <v>Barrier</v>
      </c>
      <c r="AN63" s="116"/>
      <c r="AO63" s="114"/>
      <c r="AP63" s="25" t="s">
        <v>200</v>
      </c>
    </row>
    <row r="64" spans="1:42" ht="30" x14ac:dyDescent="0.25">
      <c r="A64" s="82">
        <v>44098</v>
      </c>
      <c r="B64" s="76"/>
      <c r="C64" s="25">
        <v>4600332</v>
      </c>
      <c r="D64" s="25" t="s">
        <v>92</v>
      </c>
      <c r="E64" s="77">
        <v>11</v>
      </c>
      <c r="F64" s="78">
        <v>639511</v>
      </c>
      <c r="G64" s="79">
        <v>5481114</v>
      </c>
      <c r="H64" s="77" t="s">
        <v>106</v>
      </c>
      <c r="I64" s="77" t="s">
        <v>201</v>
      </c>
      <c r="J64" s="80"/>
      <c r="K64" s="77" t="s">
        <v>202</v>
      </c>
      <c r="L64" s="25" t="s">
        <v>95</v>
      </c>
      <c r="M64" s="25" t="s">
        <v>96</v>
      </c>
      <c r="N64" s="114">
        <v>1.2</v>
      </c>
      <c r="O64" s="114">
        <v>25</v>
      </c>
      <c r="P64" s="116" t="s">
        <v>97</v>
      </c>
      <c r="Q64" s="122"/>
      <c r="R64" s="116" t="s">
        <v>97</v>
      </c>
      <c r="S64" s="116" t="s">
        <v>97</v>
      </c>
      <c r="T64" s="122"/>
      <c r="U64" s="114">
        <v>2.2999999999999998</v>
      </c>
      <c r="V64" s="116">
        <v>0</v>
      </c>
      <c r="W64" s="114">
        <v>0.5</v>
      </c>
      <c r="X64" s="116" t="s">
        <v>98</v>
      </c>
      <c r="Y64" s="114">
        <v>1.5</v>
      </c>
      <c r="Z64" s="114">
        <v>3.3</v>
      </c>
      <c r="AA64" s="116">
        <v>4</v>
      </c>
      <c r="AB64" s="25" t="s">
        <v>97</v>
      </c>
      <c r="AC64" s="25" t="s">
        <v>98</v>
      </c>
      <c r="AD64" s="116" t="s">
        <v>99</v>
      </c>
      <c r="AE64" s="116" t="s">
        <v>100</v>
      </c>
      <c r="AF64" s="22">
        <f t="shared" si="8"/>
        <v>2.75</v>
      </c>
      <c r="AG64" s="15">
        <f t="shared" si="1"/>
        <v>3</v>
      </c>
      <c r="AH64" s="7">
        <f t="shared" si="2"/>
        <v>10</v>
      </c>
      <c r="AI64" s="7">
        <f t="shared" si="3"/>
        <v>0</v>
      </c>
      <c r="AJ64" s="7">
        <f t="shared" si="4"/>
        <v>5</v>
      </c>
      <c r="AK64" s="12">
        <f t="shared" si="5"/>
        <v>6</v>
      </c>
      <c r="AL64" s="14">
        <f t="shared" si="9"/>
        <v>24</v>
      </c>
      <c r="AM64" s="16" t="str">
        <f t="shared" si="7"/>
        <v>Barrier</v>
      </c>
      <c r="AN64" s="116"/>
      <c r="AO64" s="114"/>
      <c r="AP64" s="25" t="s">
        <v>203</v>
      </c>
    </row>
    <row r="65" spans="1:42" ht="30" x14ac:dyDescent="0.25">
      <c r="A65" s="82">
        <v>44098</v>
      </c>
      <c r="B65" s="76"/>
      <c r="C65" s="25">
        <v>4600026</v>
      </c>
      <c r="D65" s="25" t="s">
        <v>204</v>
      </c>
      <c r="E65" s="77">
        <v>11</v>
      </c>
      <c r="F65" s="78">
        <v>642911</v>
      </c>
      <c r="G65" s="79">
        <v>5490630</v>
      </c>
      <c r="H65" s="77" t="s">
        <v>106</v>
      </c>
      <c r="I65" s="77" t="s">
        <v>205</v>
      </c>
      <c r="J65" s="80"/>
      <c r="K65" s="77" t="s">
        <v>202</v>
      </c>
      <c r="L65" s="25" t="s">
        <v>95</v>
      </c>
      <c r="M65" s="25" t="s">
        <v>96</v>
      </c>
      <c r="N65" s="114">
        <v>0.6</v>
      </c>
      <c r="O65" s="114">
        <v>22</v>
      </c>
      <c r="P65" s="116" t="s">
        <v>97</v>
      </c>
      <c r="Q65" s="122"/>
      <c r="R65" s="116" t="s">
        <v>97</v>
      </c>
      <c r="S65" s="116" t="s">
        <v>97</v>
      </c>
      <c r="T65" s="122"/>
      <c r="U65" s="114">
        <v>2</v>
      </c>
      <c r="V65" s="116">
        <v>1.3</v>
      </c>
      <c r="W65" s="114">
        <v>0.3</v>
      </c>
      <c r="X65" s="116" t="s">
        <v>97</v>
      </c>
      <c r="Y65" s="114">
        <v>1.5</v>
      </c>
      <c r="Z65" s="114">
        <v>2.2000000000000002</v>
      </c>
      <c r="AA65" s="116">
        <v>3</v>
      </c>
      <c r="AB65" s="25" t="s">
        <v>97</v>
      </c>
      <c r="AC65" s="25" t="s">
        <v>97</v>
      </c>
      <c r="AD65" s="116" t="s">
        <v>99</v>
      </c>
      <c r="AE65" s="116" t="s">
        <v>102</v>
      </c>
      <c r="AF65" s="22">
        <f t="shared" si="8"/>
        <v>3.666666666666667</v>
      </c>
      <c r="AG65" s="15">
        <f t="shared" si="1"/>
        <v>3</v>
      </c>
      <c r="AH65" s="7">
        <f t="shared" si="2"/>
        <v>10</v>
      </c>
      <c r="AI65" s="7">
        <f t="shared" si="3"/>
        <v>10</v>
      </c>
      <c r="AJ65" s="7">
        <f t="shared" si="4"/>
        <v>5</v>
      </c>
      <c r="AK65" s="12">
        <f t="shared" si="5"/>
        <v>6</v>
      </c>
      <c r="AL65" s="14">
        <f t="shared" si="9"/>
        <v>34</v>
      </c>
      <c r="AM65" s="16" t="str">
        <f t="shared" si="7"/>
        <v>Barrier</v>
      </c>
      <c r="AN65" s="116"/>
      <c r="AO65" s="114"/>
      <c r="AP65" s="25" t="s">
        <v>206</v>
      </c>
    </row>
    <row r="66" spans="1:42" x14ac:dyDescent="0.25">
      <c r="A66" s="82">
        <v>44098</v>
      </c>
      <c r="B66" s="76"/>
      <c r="C66" s="25">
        <v>4600028</v>
      </c>
      <c r="D66" s="25" t="s">
        <v>204</v>
      </c>
      <c r="E66" s="77">
        <v>11</v>
      </c>
      <c r="F66" s="78">
        <v>642559</v>
      </c>
      <c r="G66" s="79">
        <v>5490377</v>
      </c>
      <c r="H66" s="77" t="s">
        <v>207</v>
      </c>
      <c r="I66" s="77" t="s">
        <v>205</v>
      </c>
      <c r="J66" s="80"/>
      <c r="K66" s="77" t="s">
        <v>150</v>
      </c>
      <c r="L66" s="25" t="s">
        <v>95</v>
      </c>
      <c r="M66" s="25" t="s">
        <v>96</v>
      </c>
      <c r="N66" s="114">
        <v>0.95</v>
      </c>
      <c r="O66" s="114">
        <v>14.5</v>
      </c>
      <c r="P66" s="116" t="s">
        <v>97</v>
      </c>
      <c r="Q66" s="122"/>
      <c r="R66" s="116" t="s">
        <v>97</v>
      </c>
      <c r="S66" s="116" t="s">
        <v>97</v>
      </c>
      <c r="T66" s="122"/>
      <c r="U66" s="114">
        <v>1.2</v>
      </c>
      <c r="V66" s="116">
        <v>0.56999999999999995</v>
      </c>
      <c r="W66" s="114">
        <v>0.22</v>
      </c>
      <c r="X66" s="116" t="s">
        <v>97</v>
      </c>
      <c r="Y66" s="114">
        <v>5.5</v>
      </c>
      <c r="Z66" s="114">
        <v>2</v>
      </c>
      <c r="AA66" s="116">
        <v>5</v>
      </c>
      <c r="AB66" s="25" t="s">
        <v>97</v>
      </c>
      <c r="AC66" s="25" t="s">
        <v>98</v>
      </c>
      <c r="AD66" s="116" t="s">
        <v>99</v>
      </c>
      <c r="AE66" s="116" t="s">
        <v>128</v>
      </c>
      <c r="AF66" s="22">
        <f t="shared" si="8"/>
        <v>2.1052631578947367</v>
      </c>
      <c r="AG66" s="15">
        <f t="shared" si="1"/>
        <v>0</v>
      </c>
      <c r="AH66" s="7">
        <f t="shared" si="2"/>
        <v>10</v>
      </c>
      <c r="AI66" s="7">
        <f t="shared" si="3"/>
        <v>10</v>
      </c>
      <c r="AJ66" s="7">
        <f t="shared" si="4"/>
        <v>10</v>
      </c>
      <c r="AK66" s="12">
        <f t="shared" si="5"/>
        <v>6</v>
      </c>
      <c r="AL66" s="14">
        <f t="shared" si="9"/>
        <v>36</v>
      </c>
      <c r="AM66" s="16" t="str">
        <f t="shared" si="7"/>
        <v>Barrier</v>
      </c>
      <c r="AN66" s="116"/>
      <c r="AO66" s="114"/>
      <c r="AP66" s="25" t="s">
        <v>208</v>
      </c>
    </row>
    <row r="67" spans="1:42" x14ac:dyDescent="0.25">
      <c r="A67" s="82">
        <v>44098</v>
      </c>
      <c r="B67" s="76"/>
      <c r="C67" s="25">
        <v>4600157</v>
      </c>
      <c r="D67" s="25" t="s">
        <v>204</v>
      </c>
      <c r="E67" s="77">
        <v>11</v>
      </c>
      <c r="F67" s="78">
        <v>643565</v>
      </c>
      <c r="G67" s="79">
        <v>5490325</v>
      </c>
      <c r="H67" s="77" t="s">
        <v>147</v>
      </c>
      <c r="I67" s="77" t="s">
        <v>201</v>
      </c>
      <c r="J67" s="80"/>
      <c r="K67" s="77" t="s">
        <v>150</v>
      </c>
      <c r="L67" s="25" t="s">
        <v>143</v>
      </c>
      <c r="M67" s="25" t="s">
        <v>169</v>
      </c>
      <c r="N67" s="114">
        <v>4</v>
      </c>
      <c r="O67" s="114">
        <v>44</v>
      </c>
      <c r="P67" s="121"/>
      <c r="Q67" s="122"/>
      <c r="R67" s="121"/>
      <c r="S67" s="121"/>
      <c r="T67" s="122"/>
      <c r="U67" s="122"/>
      <c r="V67" s="121"/>
      <c r="W67" s="122"/>
      <c r="X67" s="121"/>
      <c r="Y67" s="122"/>
      <c r="Z67" s="122"/>
      <c r="AA67" s="121"/>
      <c r="AB67" s="25" t="s">
        <v>97</v>
      </c>
      <c r="AC67" s="25" t="s">
        <v>97</v>
      </c>
      <c r="AD67" s="121"/>
      <c r="AE67" s="121"/>
      <c r="AF67" s="22">
        <f t="shared" si="8"/>
        <v>0</v>
      </c>
      <c r="AG67" s="15">
        <f t="shared" si="1"/>
        <v>6</v>
      </c>
      <c r="AH67" s="7">
        <f t="shared" si="2"/>
        <v>0</v>
      </c>
      <c r="AI67" s="7">
        <f t="shared" si="3"/>
        <v>0</v>
      </c>
      <c r="AJ67" s="7">
        <f t="shared" si="4"/>
        <v>0</v>
      </c>
      <c r="AK67" s="12">
        <f t="shared" si="5"/>
        <v>0</v>
      </c>
      <c r="AL67" s="14">
        <f t="shared" si="9"/>
        <v>6</v>
      </c>
      <c r="AM67" s="16" t="str">
        <f t="shared" si="7"/>
        <v>Passable</v>
      </c>
      <c r="AN67" s="121"/>
      <c r="AO67" s="122"/>
      <c r="AP67" s="25" t="s">
        <v>209</v>
      </c>
    </row>
    <row r="68" spans="1:42" x14ac:dyDescent="0.25">
      <c r="A68" s="82">
        <v>44098</v>
      </c>
      <c r="B68" s="76"/>
      <c r="C68" s="25">
        <v>4600158</v>
      </c>
      <c r="D68" s="25" t="s">
        <v>204</v>
      </c>
      <c r="E68" s="77">
        <v>11</v>
      </c>
      <c r="F68" s="78">
        <v>642739</v>
      </c>
      <c r="G68" s="79">
        <v>5489444</v>
      </c>
      <c r="H68" s="77" t="s">
        <v>207</v>
      </c>
      <c r="I68" s="77" t="s">
        <v>201</v>
      </c>
      <c r="J68" s="80"/>
      <c r="K68" s="77" t="s">
        <v>150</v>
      </c>
      <c r="L68" s="25" t="s">
        <v>95</v>
      </c>
      <c r="M68" s="25" t="s">
        <v>96</v>
      </c>
      <c r="N68" s="114">
        <v>1.8</v>
      </c>
      <c r="O68" s="114">
        <v>29.5</v>
      </c>
      <c r="P68" s="116" t="s">
        <v>97</v>
      </c>
      <c r="Q68" s="122"/>
      <c r="R68" s="116" t="s">
        <v>97</v>
      </c>
      <c r="S68" s="116" t="s">
        <v>97</v>
      </c>
      <c r="T68" s="122"/>
      <c r="U68" s="114">
        <v>1.5</v>
      </c>
      <c r="V68" s="116">
        <v>0.17</v>
      </c>
      <c r="W68" s="114">
        <v>0.24</v>
      </c>
      <c r="X68" s="116" t="s">
        <v>97</v>
      </c>
      <c r="Y68" s="114">
        <v>1</v>
      </c>
      <c r="Z68" s="114">
        <v>3.2</v>
      </c>
      <c r="AA68" s="116">
        <v>0.5</v>
      </c>
      <c r="AB68" s="25" t="s">
        <v>97</v>
      </c>
      <c r="AC68" s="25" t="s">
        <v>97</v>
      </c>
      <c r="AD68" s="116" t="s">
        <v>99</v>
      </c>
      <c r="AE68" s="116" t="s">
        <v>100</v>
      </c>
      <c r="AF68" s="22">
        <f t="shared" si="8"/>
        <v>1.7777777777777779</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5</v>
      </c>
      <c r="AJ68" s="7">
        <f t="shared" ref="AJ68:AJ131" si="13">IF(Y68&lt;1,0,IF(AND(Y68&gt;=1,Y68&lt;3),5,IF(Y68&gt;=3,10,0)))</f>
        <v>5</v>
      </c>
      <c r="AK68" s="12">
        <f t="shared" ref="AK68:AK131" si="14">IF(AF68&lt;1,0,IF(AND(AF68&gt;=1,AF68&lt;1.3),3,IF(AF68&gt;=1.3,6,0)))</f>
        <v>6</v>
      </c>
      <c r="AL68" s="14">
        <f t="shared" si="9"/>
        <v>29</v>
      </c>
      <c r="AM68" s="16" t="str">
        <f t="shared" ref="AM68:AM131" si="15">IF(ISBLANK(L68), "", IF(L68 = "Open Bottom Structure", "Passable", IF(L68 = "Other", "Unknown", IF(AL68 &lt; 15, "Passable", IF(AND(AL68 &gt;= 15,AL68 &lt;= 19), "Potential", IF(AL68 &gt; 19, "Barrier", ""))))))</f>
        <v>Barrier</v>
      </c>
      <c r="AN68" s="116"/>
      <c r="AO68" s="114"/>
      <c r="AP68" s="25" t="s">
        <v>210</v>
      </c>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ejx1euN8o0fs0vQ2LT7hpkHNBzH5EcIbaXssSwKOOdSXkBDO21BKZWcKNnFsiQT7f9+esbVNMu4qrYOYg8RqAQ==" saltValue="gMdQk7mR8XpxLNwt/97gs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9">
    <dataValidation type="list" allowBlank="1" showInputMessage="1" showErrorMessage="1" sqref="AM5284:AM65536" xr:uid="{00000000-0002-0000-0200-000000000000}">
      <formula1>"Passable, Potential, Barrier, Unkown"</formula1>
    </dataValidation>
    <dataValidation type="list" allowBlank="1" showInputMessage="1" showErrorMessage="1" sqref="M69: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 Q48 Q69: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21 N48 N69: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9:M50 M37:M47 M30:M35 M26:M27 M22:M23 M5:M19 M68 M52:M66" xr:uid="{87B1101C-48B7-8945-8F6B-BCFE5FD89E9B}">
      <formula1>"Round Culvert,Oval Culvert,Concrete Box"</formula1>
    </dataValidation>
    <dataValidation type="decimal" allowBlank="1" showInputMessage="1" showErrorMessage="1" errorTitle="Invalid Diamter or Span" error="The Diameter or Span entered is invalid. Diameter or Span must be &gt; 0 and &lt; 300" sqref="N49:N50 N37:N47 N30:N35 N26:N27 N22:N23 N5:N19 N68 N52:N66" xr:uid="{62D40BDC-9507-4F44-9A54-5CDE455EADBD}">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Q62 Q59:Q60 Q50 Q47 Q39 Q23 Q15" xr:uid="{2243BF22-1912-DA48-9A59-1FC866E97C82}">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6 Q49 Q45 Q37 Q34:Q35 Q32 Q22 Q13:Q14 Q8 Q65" xr:uid="{A0CB3F0D-75EA-E945-8AA8-F7484C1B1312}">
      <formula1>0.01</formula1>
      <formula2>0.59</formula2>
    </dataValidation>
    <dataValidation type="decimal" allowBlank="1" showInputMessage="1" showErrorMessage="1" errorTitle="Invalid value entered" error="The Average Depth Embededdment you entered is invalid. The Average Depth Embededdment must be &lt;= 0.34 and &gt;= 0.01" sqref="Q7" xr:uid="{B76A2953-74E1-7149-BF9F-2A54D90C8077}">
      <formula1>0.01</formula1>
      <formula2>0.34</formula2>
    </dataValidation>
    <dataValidation type="decimal" allowBlank="1" showInputMessage="1" showErrorMessage="1" errorTitle="Invalid value entered" error="The Average Depth Embededdment you entered is invalid. The Average Depth Embededdment must be &lt;= 0.39 and &gt;= 0.01" sqref="Q9:Q10" xr:uid="{56E3F55A-6A3B-6246-8AF0-5ECF18E1C62A}">
      <formula1>0.01</formula1>
      <formula2>0.39</formula2>
    </dataValidation>
    <dataValidation type="decimal" allowBlank="1" showInputMessage="1" showErrorMessage="1" errorTitle="Invalid value entered" error="The Average Depth Embededdment you entered is invalid. The Average Depth Embededdment must be &lt;= 1.19 and &gt;= 0.01" sqref="Q11 Q61 Q55:Q56 Q52:Q53 Q63:Q64" xr:uid="{5D6BE724-21F0-B64A-8FB9-A331E0A97E2C}">
      <formula1>0.01</formula1>
      <formula2>1.19</formula2>
    </dataValidation>
    <dataValidation type="decimal" allowBlank="1" showInputMessage="1" showErrorMessage="1" errorTitle="Invalid value entered" error="The Average Depth Embededdment you entered is invalid. The Average Depth Embededdment must be &lt;= 1.49 and &gt;= 0.01" sqref="Q12 Q57 Q40 Q38" xr:uid="{E57BAF6F-62E4-0A4B-8E91-01C03D8C83EF}">
      <formula1>0.01</formula1>
      <formula2>1.49</formula2>
    </dataValidation>
    <dataValidation type="decimal" allowBlank="1" showInputMessage="1" showErrorMessage="1" errorTitle="Invalid value entered" error="The Average Depth Embededdment you entered is invalid. The Average Depth Embededdment must be &lt;= 0.74 and &gt;= 0.01" sqref="Q30 Q16:Q17" xr:uid="{15CFC4DB-92D2-4F4D-B268-0279BE741A4F}">
      <formula1>0.01</formula1>
      <formula2>0.74</formula2>
    </dataValidation>
    <dataValidation type="decimal" allowBlank="1" showInputMessage="1" showErrorMessage="1" errorTitle="Invalid value entered" error="The Average Depth Embededdment you entered is invalid. The Average Depth Embededdment must be &lt;= 3.29 and &gt;= 0.01" sqref="Q18" xr:uid="{10EE55D3-9652-DD49-AB63-94CA44AEC9BC}">
      <formula1>0.01</formula1>
      <formula2>3.29</formula2>
    </dataValidation>
    <dataValidation type="decimal" allowBlank="1" showInputMessage="1" showErrorMessage="1" errorTitle="Invalid value entered" error="The Average Depth Embededdment you entered is invalid. The Average Depth Embededdment must be &lt;= 1.59 and &gt;= 0.01" sqref="Q19" xr:uid="{09F735E3-B426-CF40-9131-8310A51A00C3}">
      <formula1>0.01</formula1>
      <formula2>1.59</formula2>
    </dataValidation>
    <dataValidation type="list" allowBlank="1" showInputMessage="1" showErrorMessage="1" errorTitle="Invalid value entered" error="The crossing subtype is not compatible with a crossing type of Other" sqref="M48 M20:M21" xr:uid="{E0A10C0E-5B01-634D-97EB-1866DB1C08CC}">
      <formula1>"Ford"</formula1>
    </dataValidation>
    <dataValidation type="list" allowBlank="1" showInputMessage="1" showErrorMessage="1" errorTitle="Invalid value entered" error="The crossing subtype is not compatible with a crossing type of Open Bottom Structure" sqref="M51 M36 M28:M29 M24:M25 M67" xr:uid="{DF0DABA2-F7C3-6445-8CDD-3416A2BD334E}">
      <formula1>"Bridge, Pipe Arch, Wood Box Culvert"</formula1>
    </dataValidation>
    <dataValidation type="decimal" allowBlank="1" showInputMessage="1" showErrorMessage="1" errorTitle="Invalid Diamter or Span" error="The Diameter or Span entered is invalid. Diameter or Span must be &gt; 0 and &lt; 100" sqref="N51 N36 N28:N29 N24:N25 N67" xr:uid="{A37B75CE-E810-264A-934A-F95E52519667}">
      <formula1>0.01</formula1>
      <formula2>100</formula2>
    </dataValidation>
    <dataValidation type="decimal" allowBlank="1" showInputMessage="1" showErrorMessage="1" errorTitle="Invalid value entered" error="The Average Depth Embededdment you entered is invalid. The Average Depth Embededdment must be &lt;= 3.99 and &gt;= 0.01" sqref="Q24:Q25 Q67" xr:uid="{964890B8-5F1B-744C-84D0-6857F6C5D3A5}">
      <formula1>0.01</formula1>
      <formula2>3.99</formula2>
    </dataValidation>
    <dataValidation type="decimal" allowBlank="1" showInputMessage="1" showErrorMessage="1" errorTitle="Invalid value entered" error="The Average Depth Embededdment you entered is invalid. The Average Depth Embededdment must be &lt;= 0.79 and &gt;= 0.01" sqref="Q26 Q46 Q42" xr:uid="{81576A2D-645F-C14F-90DB-CAD1D074D0D5}">
      <formula1>0.01</formula1>
      <formula2>0.79</formula2>
    </dataValidation>
    <dataValidation type="decimal" allowBlank="1" showInputMessage="1" showErrorMessage="1" errorTitle="Invalid value entered" error="The Average Depth Embededdment you entered is invalid. The Average Depth Embededdment must be &lt;= 2.59 and &gt;= 0.01" sqref="Q27" xr:uid="{8A282EFB-627D-FD41-B406-A770A8313F56}">
      <formula1>0.01</formula1>
      <formula2>2.59</formula2>
    </dataValidation>
    <dataValidation type="decimal" allowBlank="1" showInputMessage="1" showErrorMessage="1" errorTitle="Invalid value entered" error="The Average Depth Embededdment you entered is invalid. The Average Depth Embededdment must be &lt;= 11.99 and &gt;= 0.01" sqref="Q28" xr:uid="{3759A786-3951-D041-BEF9-79495DC2D889}">
      <formula1>0.01</formula1>
      <formula2>11.99</formula2>
    </dataValidation>
    <dataValidation type="decimal" allowBlank="1" showInputMessage="1" showErrorMessage="1" errorTitle="Invalid value entered" error="The Average Depth Embededdment you entered is invalid. The Average Depth Embededdment must be &lt;= 7.99 and &gt;= 0.01" sqref="Q29" xr:uid="{74E58BD3-C48C-FB4B-8E14-FB77A4783DB9}">
      <formula1>0.01</formula1>
      <formula2>7.99</formula2>
    </dataValidation>
    <dataValidation type="decimal" allowBlank="1" showInputMessage="1" showErrorMessage="1" errorTitle="Invalid value entered" error="The Average Depth Embededdment you entered is invalid. The Average Depth Embededdment must be &lt;= 0.49 and &gt;= 0.01" sqref="Q31" xr:uid="{F306DFBA-65A1-D94A-AA1F-F83B762688F7}">
      <formula1>0.01</formula1>
      <formula2>0.49</formula2>
    </dataValidation>
    <dataValidation type="decimal" allowBlank="1" showInputMessage="1" showErrorMessage="1" errorTitle="Invalid value entered" error="The Average Depth Embededdment you entered is invalid. The Average Depth Embededdment must be &lt;= 0.64 and &gt;= 0.01" sqref="Q33" xr:uid="{B5E56A77-A1D1-3942-86E9-CD41F819ACC2}">
      <formula1>0.01</formula1>
      <formula2>0.64</formula2>
    </dataValidation>
    <dataValidation type="decimal" allowBlank="1" showInputMessage="1" showErrorMessage="1" errorTitle="Invalid value entered" error="The Average Depth Embededdment you entered is invalid. The Average Depth Embededdment must be &lt;= 2.49 and &gt;= 0.01" sqref="Q36 Q44" xr:uid="{09B2851F-20CB-0740-AEF3-A2080252E4C0}">
      <formula1>0.01</formula1>
      <formula2>2.49</formula2>
    </dataValidation>
    <dataValidation type="decimal" allowBlank="1" showInputMessage="1" showErrorMessage="1" errorTitle="Invalid value entered" error="The Average Depth Embededdment you entered is invalid. The Average Depth Embededdment must be &lt;= 0.44 and &gt;= 0.01" sqref="Q41 Q43" xr:uid="{96C40464-8547-264A-9D2F-7A46D19FFB8D}">
      <formula1>0.01</formula1>
      <formula2>0.44</formula2>
    </dataValidation>
    <dataValidation type="decimal" allowBlank="1" showInputMessage="1" showErrorMessage="1" errorTitle="Invalid value entered" error="The Average Depth Embededdment you entered is invalid. The Average Depth Embededdment must be &lt;= 13.49 and &gt;= 0.01" sqref="Q51" xr:uid="{4736638F-36B9-4A42-B98C-A343F85AA4E5}">
      <formula1>0.01</formula1>
      <formula2>13.49</formula2>
    </dataValidation>
    <dataValidation type="decimal" allowBlank="1" showInputMessage="1" showErrorMessage="1" errorTitle="Invalid value entered" error="The Average Depth Embededdment you entered is invalid. The Average Depth Embededdment must be &lt;= 1.09 and &gt;= 0.01" sqref="Q54" xr:uid="{E33A7E31-5F94-9945-B41F-6C3E21AF4773}">
      <formula1>0.01</formula1>
      <formula2>1.09</formula2>
    </dataValidation>
    <dataValidation type="decimal" allowBlank="1" showInputMessage="1" showErrorMessage="1" errorTitle="Invalid value entered" error="The Average Depth Embededdment you entered is invalid. The Average Depth Embededdment must be &lt;= 0.99 and &gt;= 0.01" sqref="Q58" xr:uid="{4DBF98CE-5A9A-5F4A-9C40-00626679B093}">
      <formula1>0.01</formula1>
      <formula2>0.99</formula2>
    </dataValidation>
    <dataValidation type="decimal" allowBlank="1" showInputMessage="1" showErrorMessage="1" errorTitle="Invalid value entered" error="The Average Depth Embededdment you entered is invalid. The Average Depth Embededdment must be &lt;= 0.94 and &gt;= 0.01" sqref="Q66" xr:uid="{AECE242C-E8D4-479E-8685-B5417C80AD3E}">
      <formula1>0.01</formula1>
      <formula2>0.94</formula2>
    </dataValidation>
    <dataValidation type="decimal" allowBlank="1" showInputMessage="1" showErrorMessage="1" errorTitle="Invalid value entered" error="The Average Depth Embededdment you entered is invalid. The Average Depth Embededdment must be &lt;= 1.79 and &gt;= 0.01" sqref="Q68" xr:uid="{E60DFDA0-6197-41DA-B50D-22C96E85C3B1}">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2020-11-18T01:16:19Z</dcterms:modified>
</cp:coreProperties>
</file>