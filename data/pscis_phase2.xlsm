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82F42669-D0AE-4850-A804-1C8BD7696231}" xr6:coauthVersionLast="46" xr6:coauthVersionMax="46" xr10:uidLastSave="{00000000-0000-0000-0000-000000000000}"/>
  <bookViews>
    <workbookView xWindow="-120" yWindow="-120" windowWidth="29040" windowHeight="1584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L19" i="2"/>
  <c r="AM19" i="2"/>
  <c r="AL20" i="2"/>
  <c r="AL18" i="2"/>
  <c r="AM18" i="2" s="1"/>
  <c r="AL16" i="2"/>
  <c r="AM16" i="2" s="1"/>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7" i="2" l="1"/>
  <c r="AM17" i="2" s="1"/>
  <c r="AL14" i="2"/>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<sst xmlns="http://schemas.openxmlformats.org/spreadsheetml/2006/main" count="342" uniqueCount="162">
  <si>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</si>
  <si>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</si>
  <si>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</si>
  <si>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</si>
  <si>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</si>
  <si>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</si>
  <si>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</si>
  <si>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</si>
  <si>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</si>
  <si>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</si>
  <si>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</si>
  <si>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</si>
  <si>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</si>
  <si>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</si>
  <si>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</si>
  <si>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</si>
  <si>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</si>
  <si>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</si>
  <si>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</si>
  <si>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</si>
  <si>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</si>
  <si>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</si>
  <si>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</si>
  <si>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</si>
  <si>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</si>
  <si>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</si>
  <si>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</si>
  <si>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</si>
  <si>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</si>
  <si>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</si>
  <si>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</si>
  <si>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</si>
  <si>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</si>
  <si>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</si>
  <si>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</si>
  <si>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</si>
  <si>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</si>
  <si>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</si>
  <si>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</si>
  <si>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</si>
  <si>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</si>
  <si>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</si>
  <si>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</si>
  <si>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</si>
  <si>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</si>
  <si>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</si>
  <si>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</si>
  <si>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</si>
  <si>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</si>
  <si>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</si>
  <si>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</si>
  <si>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</si>
  <si>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</si>
  <si>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</si>
  <si>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</si>
  <si>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</si>
  <si>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</si>
  <si>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</si>
  <si>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</si>
  <si>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</si>
  <si>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</si>
  <si>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</si>
  <si>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</si>
  <si>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</si>
  <si>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</si>
  <si>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</si>
  <si>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</si>
  <si>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</si>
  <si>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</si>
  <si>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</si>
  <si>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</si>
  <si>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</si>
  <si>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</si>
  <si>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</si>
  <si>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</si>
  <si>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</si>
  <si>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</si>
  <si>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</si>
  <si>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</si>
  <si>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</si>
  <si>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</si>
  <si>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</si>
  <si>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</si>
  <si>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</si>
  <si>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</si>
  <si>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</si>
  <si>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</si>
  <si>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</si>
  <si>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</si>
  <si>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</si>
  <si>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</si>
  <si>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</si>
  <si>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</si>
  <si>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</si>
  <si>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</si>
  <si>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</si>
  <si>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</si>
  <si>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</si>
  <si>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</si>
  <si>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</si>
  <si>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</si>
  <si>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Highway 43</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</si>
  <si>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</si>
  <si>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</si>
  <si>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</si>
  <si>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</si>
  <si>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</si>
  <si>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</si>
  <si>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</si>
  <si>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</si>
  <si>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</si>
  <si>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</si>
  <si>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</si>
  <si>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River Rd</t>
  </si>
  <si>
    <t>Busato Rd</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</si>
  <si>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</si>
  <si>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</si>
  <si>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</si>
  <si>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</si>
  <si>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</si>
  <si>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</si>
  <si>
    <t xml:space="preserve">Approximately 15 fish (WCT) at outlet pool with lenghtup to approx. 170mm.  Road network incorrectly mapped.  Road crosses stream twice in 200 m due to channel jumping banks approximately 175 m upstream.  </t>
  </si>
  <si>
    <t>FLNR 0103</t>
  </si>
  <si>
    <t>MoTi highway</t>
  </si>
  <si>
    <t>MoTi local</t>
  </si>
  <si>
    <t>Unknown</t>
  </si>
  <si>
    <t>Canfor R08362</t>
  </si>
  <si>
    <t>FLNR 5466</t>
  </si>
  <si>
    <t>MoTi recreation</t>
  </si>
  <si>
    <t>Spur</t>
  </si>
  <si>
    <t>Replace with New Open Bottom Structure</t>
  </si>
  <si>
    <t>Replace Structure with Streambed Simulation CBS</t>
  </si>
  <si>
    <t>Large perched culvert. High value habitat. Large span of replacement structure estimated due to large amount of fill.</t>
  </si>
  <si>
    <t>Tributary to Morrisey Creek</t>
  </si>
  <si>
    <t>Harriet Lake Creek</t>
  </si>
  <si>
    <t>MF, AI</t>
  </si>
  <si>
    <t>Tributary to Morrissey Creek</t>
  </si>
  <si>
    <t>Lodgepole FSR</t>
  </si>
  <si>
    <t>Mid section of barrel caving. Erosion around outlet.</t>
  </si>
  <si>
    <t>AI, MF</t>
  </si>
  <si>
    <t>Mt.Fernie Park Rd</t>
  </si>
  <si>
    <t>Hartley Creek</t>
  </si>
  <si>
    <t>Dicken Road</t>
  </si>
  <si>
    <t>MoTi collector</t>
  </si>
  <si>
    <t>Laser level used for culvert slope. WCT spawning system. See Management Plan for the Westslope Cutthroat Trout (Oncorhynchus clarkii lewisi) in British Columbia 2014 http://a100.gov.bc.ca/pub/eirs/finishDownloadDocument.do?subdocumentId=9781</t>
  </si>
  <si>
    <t>Tributary to Michel Creek</t>
  </si>
  <si>
    <t>Flathead FSR</t>
  </si>
  <si>
    <t>Large stream with good flow. Flows currently mostly through south culvert which has slightly higher outlet drop. Similar elevation outlets so added together for width. Lazer level used for culvert slope. Cobble/boulder substrate. Boulder cover.</t>
  </si>
  <si>
    <t>Permanent impassable rock outcrop downstream 200m. 3 x 0.9m pipes.</t>
  </si>
  <si>
    <t>Newly installed culvert within provincial park. Paved.</t>
  </si>
  <si>
    <t>Weigert Creek</t>
  </si>
  <si>
    <t>BCFP-003_phase2</t>
  </si>
  <si>
    <t>Elk River Watershed Group Fish Passage Assessments - Phase 2</t>
  </si>
  <si>
    <t>186987</t>
  </si>
  <si>
    <t>Al Irvine</t>
  </si>
  <si>
    <t>250-777-1518</t>
  </si>
  <si>
    <t>al@newgraphenvironment.com</t>
  </si>
  <si>
    <t>00188139</t>
  </si>
  <si>
    <t>Betty Rebellato</t>
  </si>
  <si>
    <t>800-563-9453</t>
  </si>
  <si>
    <t>BettyR@cwf-fcf.org</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</si>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</sst>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17" sqref="B17"/>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151</v>
      </c>
    </row>
    <row r="5" spans="1:20" x14ac:dyDescent="0.25">
      <c r="A5" s="4" t="s">
        <v>58</v>
      </c>
      <c r="B5" t="s">
        <v>152</v>
      </c>
    </row>
    <row r="6" spans="1:20" x14ac:dyDescent="0.25">
      <c r="A6" s="4"/>
      <c r="B6" s="118"/>
    </row>
    <row r="7" spans="1:20" x14ac:dyDescent="0.25">
      <c r="A7" s="4" t="s">
        <v>86</v>
      </c>
      <c r="B7" s="119" t="s">
        <v>157</v>
      </c>
    </row>
    <row r="8" spans="1:20" x14ac:dyDescent="0.25">
      <c r="A8" s="4" t="s">
        <v>73</v>
      </c>
      <c r="B8" t="s">
        <v>158</v>
      </c>
    </row>
    <row r="9" spans="1:20" x14ac:dyDescent="0.25">
      <c r="A9" s="4" t="s">
        <v>74</v>
      </c>
      <c r="B9" t="s">
        <v>159</v>
      </c>
    </row>
    <row r="10" spans="1:20" x14ac:dyDescent="0.25">
      <c r="A10" s="4" t="s">
        <v>75</v>
      </c>
      <c r="B10" s="120" t="s">
        <v>160</v>
      </c>
    </row>
    <row r="11" spans="1:20" x14ac:dyDescent="0.25">
      <c r="A11" s="4"/>
      <c r="B11" s="118"/>
    </row>
    <row r="12" spans="1:20" x14ac:dyDescent="0.25">
      <c r="A12" s="4" t="s">
        <v>36</v>
      </c>
      <c r="B12" s="119" t="s">
        <v>153</v>
      </c>
    </row>
    <row r="13" spans="1:20" x14ac:dyDescent="0.25">
      <c r="A13" s="4" t="s">
        <v>37</v>
      </c>
      <c r="B13" t="s">
        <v>154</v>
      </c>
    </row>
    <row r="14" spans="1:20" x14ac:dyDescent="0.25">
      <c r="A14" s="4" t="s">
        <v>38</v>
      </c>
      <c r="B14" t="s">
        <v>155</v>
      </c>
    </row>
    <row r="15" spans="1:20" x14ac:dyDescent="0.25">
      <c r="A15" s="4" t="s">
        <v>39</v>
      </c>
      <c r="B15" s="120" t="s">
        <v>156</v>
      </c>
    </row>
    <row r="16" spans="1:20" x14ac:dyDescent="0.25">
      <c r="A16" s="4"/>
      <c r="B16" s="118"/>
    </row>
    <row r="17" spans="1:2" x14ac:dyDescent="0.25">
      <c r="A17" s="4" t="s">
        <v>40</v>
      </c>
    </row>
    <row r="18" spans="1:2" x14ac:dyDescent="0.25">
      <c r="A18" s="4" t="s">
        <v>41</v>
      </c>
      <c r="B18" t="s">
        <v>161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K23" sqref="K23"/>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v>197555</v>
      </c>
      <c r="C5" s="116"/>
      <c r="D5" s="116" t="s">
        <v>92</v>
      </c>
      <c r="E5" s="77">
        <v>11</v>
      </c>
      <c r="F5" s="53">
        <v>646735</v>
      </c>
      <c r="G5" s="51">
        <v>5554534</v>
      </c>
      <c r="H5" s="11" t="s">
        <v>93</v>
      </c>
      <c r="I5" s="11" t="s">
        <v>94</v>
      </c>
      <c r="J5" s="104">
        <v>112.3</v>
      </c>
      <c r="K5" s="11" t="s">
        <v>122</v>
      </c>
      <c r="L5" s="116" t="s">
        <v>95</v>
      </c>
      <c r="M5" s="116" t="s">
        <v>96</v>
      </c>
      <c r="N5" s="109">
        <v>1.5</v>
      </c>
      <c r="O5" s="109">
        <v>49</v>
      </c>
      <c r="P5" s="116" t="s">
        <v>97</v>
      </c>
      <c r="Q5" s="121"/>
      <c r="R5" s="116" t="s">
        <v>97</v>
      </c>
      <c r="S5" s="116" t="s">
        <v>97</v>
      </c>
      <c r="T5" s="121"/>
      <c r="U5" s="116">
        <v>8</v>
      </c>
      <c r="V5" s="116">
        <v>1.48</v>
      </c>
      <c r="W5" s="116">
        <v>1.3</v>
      </c>
      <c r="X5" s="116" t="s">
        <v>98</v>
      </c>
      <c r="Y5" s="116">
        <v>3.5</v>
      </c>
      <c r="Z5" s="116">
        <v>3.5</v>
      </c>
      <c r="AA5" s="116">
        <v>1.5</v>
      </c>
      <c r="AB5" s="115" t="s">
        <v>97</v>
      </c>
      <c r="AC5" s="115" t="s">
        <v>97</v>
      </c>
      <c r="AD5" s="116" t="s">
        <v>99</v>
      </c>
      <c r="AE5" s="116"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6" t="s">
        <v>130</v>
      </c>
      <c r="AO5" s="116">
        <v>25</v>
      </c>
      <c r="AP5" s="103" t="s">
        <v>132</v>
      </c>
    </row>
    <row r="6" spans="1:42" s="13" customFormat="1" x14ac:dyDescent="0.25">
      <c r="A6" s="117">
        <v>44091</v>
      </c>
      <c r="B6" s="112">
        <v>197559</v>
      </c>
      <c r="C6" s="116"/>
      <c r="D6" s="116" t="s">
        <v>92</v>
      </c>
      <c r="E6" s="77">
        <v>11</v>
      </c>
      <c r="F6" s="78">
        <v>651516</v>
      </c>
      <c r="G6" s="79">
        <v>5528829</v>
      </c>
      <c r="H6" s="116" t="s">
        <v>107</v>
      </c>
      <c r="I6" s="77" t="s">
        <v>101</v>
      </c>
      <c r="J6" s="104"/>
      <c r="K6" s="116" t="s">
        <v>123</v>
      </c>
      <c r="L6" s="116" t="s">
        <v>95</v>
      </c>
      <c r="M6" s="116" t="s">
        <v>96</v>
      </c>
      <c r="N6" s="109">
        <v>2.5</v>
      </c>
      <c r="O6" s="109">
        <v>35</v>
      </c>
      <c r="P6" s="116" t="s">
        <v>98</v>
      </c>
      <c r="Q6" s="116">
        <v>0.05</v>
      </c>
      <c r="R6" s="116" t="s">
        <v>98</v>
      </c>
      <c r="S6" s="116" t="s">
        <v>97</v>
      </c>
      <c r="T6" s="121"/>
      <c r="U6" s="116">
        <v>3</v>
      </c>
      <c r="V6" s="116">
        <v>0</v>
      </c>
      <c r="W6" s="116">
        <v>1.7</v>
      </c>
      <c r="X6" s="116" t="s">
        <v>97</v>
      </c>
      <c r="Y6" s="116">
        <v>2.5</v>
      </c>
      <c r="Z6" s="116">
        <v>6.1</v>
      </c>
      <c r="AA6" s="116">
        <v>1.5</v>
      </c>
      <c r="AB6" s="115" t="s">
        <v>97</v>
      </c>
      <c r="AC6" s="115" t="s">
        <v>98</v>
      </c>
      <c r="AD6" s="116" t="s">
        <v>99</v>
      </c>
      <c r="AE6" s="116" t="s">
        <v>102</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6" t="s">
        <v>130</v>
      </c>
      <c r="AO6" s="116">
        <v>12.2</v>
      </c>
      <c r="AP6" s="103" t="s">
        <v>106</v>
      </c>
    </row>
    <row r="7" spans="1:42" s="13" customFormat="1" x14ac:dyDescent="0.25">
      <c r="A7" s="117">
        <v>44091</v>
      </c>
      <c r="B7" s="112">
        <v>197533</v>
      </c>
      <c r="C7" s="116"/>
      <c r="D7" s="116" t="s">
        <v>103</v>
      </c>
      <c r="E7" s="77">
        <v>11</v>
      </c>
      <c r="F7" s="78">
        <v>651626</v>
      </c>
      <c r="G7" s="79">
        <v>5528888</v>
      </c>
      <c r="H7" s="116" t="s">
        <v>107</v>
      </c>
      <c r="I7" s="77" t="s">
        <v>114</v>
      </c>
      <c r="J7" s="104"/>
      <c r="K7" s="116" t="s">
        <v>124</v>
      </c>
      <c r="L7" s="116" t="s">
        <v>95</v>
      </c>
      <c r="M7" s="116" t="s">
        <v>104</v>
      </c>
      <c r="N7" s="114">
        <v>3.3</v>
      </c>
      <c r="O7" s="114">
        <v>20</v>
      </c>
      <c r="P7" s="116" t="s">
        <v>97</v>
      </c>
      <c r="Q7" s="121"/>
      <c r="R7" s="116" t="s">
        <v>97</v>
      </c>
      <c r="S7" s="116" t="s">
        <v>97</v>
      </c>
      <c r="T7" s="121"/>
      <c r="U7" s="116">
        <v>1</v>
      </c>
      <c r="V7" s="116">
        <v>0.7</v>
      </c>
      <c r="W7" s="116">
        <v>1.5</v>
      </c>
      <c r="X7" s="116" t="s">
        <v>98</v>
      </c>
      <c r="Y7" s="116">
        <v>4</v>
      </c>
      <c r="Z7" s="116">
        <v>7.1</v>
      </c>
      <c r="AA7" s="116">
        <v>2</v>
      </c>
      <c r="AB7" s="115" t="s">
        <v>97</v>
      </c>
      <c r="AC7" s="115" t="s">
        <v>97</v>
      </c>
      <c r="AD7" s="116" t="s">
        <v>99</v>
      </c>
      <c r="AE7" s="116"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6" t="s">
        <v>130</v>
      </c>
      <c r="AO7" s="116">
        <v>14.2</v>
      </c>
      <c r="AP7" s="116" t="s">
        <v>105</v>
      </c>
    </row>
    <row r="8" spans="1:42" s="13" customFormat="1" x14ac:dyDescent="0.25">
      <c r="A8" s="117">
        <v>44094</v>
      </c>
      <c r="B8" s="110">
        <v>62423</v>
      </c>
      <c r="C8" s="116"/>
      <c r="D8" s="116" t="s">
        <v>92</v>
      </c>
      <c r="E8" s="77">
        <v>11</v>
      </c>
      <c r="F8" s="78">
        <v>660508</v>
      </c>
      <c r="G8" s="79">
        <v>5524239</v>
      </c>
      <c r="H8" s="116" t="s">
        <v>134</v>
      </c>
      <c r="I8" s="77" t="s">
        <v>108</v>
      </c>
      <c r="J8" s="105"/>
      <c r="K8" s="108" t="s">
        <v>125</v>
      </c>
      <c r="L8" s="116" t="s">
        <v>95</v>
      </c>
      <c r="M8" s="116" t="s">
        <v>96</v>
      </c>
      <c r="N8" s="114">
        <v>0.9</v>
      </c>
      <c r="O8" s="114">
        <v>12</v>
      </c>
      <c r="P8" s="116" t="s">
        <v>97</v>
      </c>
      <c r="Q8" s="121"/>
      <c r="R8" s="116" t="s">
        <v>97</v>
      </c>
      <c r="S8" s="116" t="s">
        <v>97</v>
      </c>
      <c r="T8" s="121"/>
      <c r="U8" s="116">
        <v>0.3</v>
      </c>
      <c r="V8" s="116">
        <v>0.18</v>
      </c>
      <c r="W8" s="116">
        <v>0.6</v>
      </c>
      <c r="X8" s="116" t="s">
        <v>98</v>
      </c>
      <c r="Y8" s="116">
        <v>0.54</v>
      </c>
      <c r="Z8" s="116">
        <v>1.44</v>
      </c>
      <c r="AA8" s="116">
        <v>4</v>
      </c>
      <c r="AB8" s="115" t="s">
        <v>97</v>
      </c>
      <c r="AC8" s="115" t="s">
        <v>97</v>
      </c>
      <c r="AD8" s="116" t="s">
        <v>99</v>
      </c>
      <c r="AE8" s="116" t="s">
        <v>109</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6" t="s">
        <v>131</v>
      </c>
      <c r="AO8" s="116">
        <v>3</v>
      </c>
      <c r="AP8" s="116" t="s">
        <v>110</v>
      </c>
    </row>
    <row r="9" spans="1:42" x14ac:dyDescent="0.25">
      <c r="A9" s="117">
        <v>44094</v>
      </c>
      <c r="B9" s="111">
        <v>62425</v>
      </c>
      <c r="C9" s="116"/>
      <c r="D9" s="116" t="s">
        <v>92</v>
      </c>
      <c r="E9" s="77">
        <v>11</v>
      </c>
      <c r="F9" s="78">
        <v>661486</v>
      </c>
      <c r="G9" s="79">
        <v>5524426</v>
      </c>
      <c r="H9" s="103" t="s">
        <v>111</v>
      </c>
      <c r="I9" s="77" t="s">
        <v>129</v>
      </c>
      <c r="J9" s="104"/>
      <c r="K9" s="116" t="s">
        <v>126</v>
      </c>
      <c r="L9" s="116" t="s">
        <v>95</v>
      </c>
      <c r="M9" s="115" t="s">
        <v>96</v>
      </c>
      <c r="N9" s="113">
        <v>1.2</v>
      </c>
      <c r="O9" s="113">
        <v>11.9</v>
      </c>
      <c r="P9" s="116" t="s">
        <v>97</v>
      </c>
      <c r="Q9" s="121"/>
      <c r="R9" s="116" t="s">
        <v>97</v>
      </c>
      <c r="S9" s="116" t="s">
        <v>97</v>
      </c>
      <c r="T9" s="121"/>
      <c r="U9" s="116">
        <v>1</v>
      </c>
      <c r="V9" s="116">
        <v>0.47</v>
      </c>
      <c r="W9" s="116">
        <v>0.38</v>
      </c>
      <c r="X9" s="116" t="s">
        <v>98</v>
      </c>
      <c r="Y9" s="116">
        <v>7.5</v>
      </c>
      <c r="Z9" s="116">
        <v>3.7</v>
      </c>
      <c r="AA9" s="116">
        <v>7.5</v>
      </c>
      <c r="AB9" s="115" t="s">
        <v>97</v>
      </c>
      <c r="AC9" s="115" t="s">
        <v>98</v>
      </c>
      <c r="AD9" s="116" t="s">
        <v>99</v>
      </c>
      <c r="AE9" s="116" t="s">
        <v>102</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6" t="s">
        <v>130</v>
      </c>
      <c r="AO9" s="116">
        <v>10</v>
      </c>
      <c r="AP9" s="116" t="s">
        <v>112</v>
      </c>
    </row>
    <row r="10" spans="1:42" x14ac:dyDescent="0.25">
      <c r="A10" s="117">
        <v>44094</v>
      </c>
      <c r="B10" s="111">
        <v>62426</v>
      </c>
      <c r="C10" s="116"/>
      <c r="D10" s="116" t="s">
        <v>92</v>
      </c>
      <c r="E10" s="77">
        <v>11</v>
      </c>
      <c r="F10" s="78">
        <v>661611</v>
      </c>
      <c r="G10" s="79">
        <v>5524460</v>
      </c>
      <c r="H10" s="103" t="s">
        <v>111</v>
      </c>
      <c r="I10" s="77" t="s">
        <v>129</v>
      </c>
      <c r="J10" s="104"/>
      <c r="K10" s="116" t="s">
        <v>126</v>
      </c>
      <c r="L10" s="116" t="s">
        <v>95</v>
      </c>
      <c r="M10" s="116" t="s">
        <v>96</v>
      </c>
      <c r="N10" s="114">
        <v>1.2</v>
      </c>
      <c r="O10" s="114">
        <v>12.5</v>
      </c>
      <c r="P10" s="116" t="s">
        <v>97</v>
      </c>
      <c r="Q10" s="122"/>
      <c r="R10" s="116" t="s">
        <v>97</v>
      </c>
      <c r="S10" s="116" t="s">
        <v>97</v>
      </c>
      <c r="T10" s="122"/>
      <c r="U10" s="114">
        <v>1</v>
      </c>
      <c r="V10" s="116">
        <v>0.25</v>
      </c>
      <c r="W10" s="114">
        <v>0.65</v>
      </c>
      <c r="X10" s="116" t="s">
        <v>98</v>
      </c>
      <c r="Y10" s="114">
        <v>5</v>
      </c>
      <c r="Z10" s="114">
        <v>3.5</v>
      </c>
      <c r="AA10" s="116">
        <v>6</v>
      </c>
      <c r="AB10" s="116" t="s">
        <v>97</v>
      </c>
      <c r="AC10" s="116" t="s">
        <v>97</v>
      </c>
      <c r="AD10" s="116" t="s">
        <v>99</v>
      </c>
      <c r="AE10" s="116" t="s">
        <v>102</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5" t="s">
        <v>130</v>
      </c>
      <c r="AO10" s="114">
        <v>10</v>
      </c>
      <c r="AP10" s="116" t="s">
        <v>121</v>
      </c>
    </row>
    <row r="11" spans="1:42" x14ac:dyDescent="0.25">
      <c r="A11" s="117">
        <v>44095</v>
      </c>
      <c r="B11" s="111">
        <v>50185</v>
      </c>
      <c r="C11" s="103"/>
      <c r="D11" s="115" t="s">
        <v>92</v>
      </c>
      <c r="E11" s="115">
        <v>11</v>
      </c>
      <c r="F11" s="107">
        <v>645683</v>
      </c>
      <c r="G11" s="106">
        <v>5469025</v>
      </c>
      <c r="H11" s="103" t="s">
        <v>133</v>
      </c>
      <c r="I11" s="77" t="s">
        <v>113</v>
      </c>
      <c r="J11" s="104"/>
      <c r="K11" s="115" t="s">
        <v>127</v>
      </c>
      <c r="L11" s="116" t="s">
        <v>95</v>
      </c>
      <c r="M11" s="116" t="s">
        <v>96</v>
      </c>
      <c r="N11" s="113">
        <v>2.2000000000000002</v>
      </c>
      <c r="O11" s="113">
        <v>17.2</v>
      </c>
      <c r="P11" s="115" t="s">
        <v>97</v>
      </c>
      <c r="Q11" s="123"/>
      <c r="R11" s="115" t="s">
        <v>97</v>
      </c>
      <c r="S11" s="115" t="s">
        <v>97</v>
      </c>
      <c r="T11" s="123"/>
      <c r="U11" s="113">
        <v>1.4</v>
      </c>
      <c r="V11" s="115">
        <v>0</v>
      </c>
      <c r="W11" s="113">
        <v>0</v>
      </c>
      <c r="X11" s="115" t="s">
        <v>97</v>
      </c>
      <c r="Y11" s="113">
        <v>3.43</v>
      </c>
      <c r="Z11" s="113">
        <v>4.3</v>
      </c>
      <c r="AA11" s="115">
        <v>4.3</v>
      </c>
      <c r="AB11" s="115" t="s">
        <v>97</v>
      </c>
      <c r="AC11" s="115" t="s">
        <v>98</v>
      </c>
      <c r="AD11" s="115" t="s">
        <v>99</v>
      </c>
      <c r="AE11" s="115"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5" t="s">
        <v>130</v>
      </c>
      <c r="AO11" s="116">
        <v>10</v>
      </c>
      <c r="AP11" s="116" t="s">
        <v>115</v>
      </c>
    </row>
    <row r="12" spans="1:42" ht="30" x14ac:dyDescent="0.25">
      <c r="A12" s="82">
        <v>44096</v>
      </c>
      <c r="B12" s="73">
        <v>50159</v>
      </c>
      <c r="C12" s="25"/>
      <c r="D12" s="25" t="s">
        <v>92</v>
      </c>
      <c r="E12" s="77">
        <v>11</v>
      </c>
      <c r="F12" s="78">
        <v>633320</v>
      </c>
      <c r="G12" s="79">
        <v>5484601</v>
      </c>
      <c r="H12" s="77" t="s">
        <v>116</v>
      </c>
      <c r="I12" s="77" t="s">
        <v>117</v>
      </c>
      <c r="J12" s="42"/>
      <c r="K12" s="77" t="s">
        <v>128</v>
      </c>
      <c r="L12" s="25" t="s">
        <v>95</v>
      </c>
      <c r="M12" s="25" t="s">
        <v>96</v>
      </c>
      <c r="N12" s="114">
        <v>0.8</v>
      </c>
      <c r="O12" s="114">
        <v>12.2</v>
      </c>
      <c r="P12" s="116" t="s">
        <v>97</v>
      </c>
      <c r="Q12" s="121"/>
      <c r="R12" s="116" t="s">
        <v>97</v>
      </c>
      <c r="S12" s="116" t="s">
        <v>97</v>
      </c>
      <c r="T12" s="122"/>
      <c r="U12" s="114">
        <v>1</v>
      </c>
      <c r="V12" s="116">
        <v>1.6</v>
      </c>
      <c r="W12" s="114">
        <v>0</v>
      </c>
      <c r="X12" s="116" t="s">
        <v>98</v>
      </c>
      <c r="Y12" s="114">
        <v>8</v>
      </c>
      <c r="Z12" s="114">
        <v>2.4500000000000002</v>
      </c>
      <c r="AA12" s="116">
        <v>9</v>
      </c>
      <c r="AB12" s="25" t="s">
        <v>97</v>
      </c>
      <c r="AC12" s="25" t="s">
        <v>97</v>
      </c>
      <c r="AD12" s="116" t="s">
        <v>99</v>
      </c>
      <c r="AE12" s="116" t="s">
        <v>102</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6" t="s">
        <v>130</v>
      </c>
      <c r="AO12" s="114">
        <v>10</v>
      </c>
      <c r="AP12" s="25" t="s">
        <v>118</v>
      </c>
    </row>
    <row r="13" spans="1:42" ht="30" x14ac:dyDescent="0.25">
      <c r="A13" s="82">
        <v>44096</v>
      </c>
      <c r="B13" s="76">
        <v>50155</v>
      </c>
      <c r="C13" s="25"/>
      <c r="D13" s="25" t="s">
        <v>92</v>
      </c>
      <c r="E13" s="77">
        <v>11</v>
      </c>
      <c r="F13" s="78">
        <v>635113</v>
      </c>
      <c r="G13" s="79">
        <v>5484261</v>
      </c>
      <c r="H13" s="77" t="s">
        <v>116</v>
      </c>
      <c r="I13" s="77" t="s">
        <v>117</v>
      </c>
      <c r="J13" s="80"/>
      <c r="K13" s="77" t="s">
        <v>128</v>
      </c>
      <c r="L13" s="25" t="s">
        <v>95</v>
      </c>
      <c r="M13" s="25" t="s">
        <v>96</v>
      </c>
      <c r="N13" s="114">
        <v>0.9</v>
      </c>
      <c r="O13" s="114">
        <v>11.2</v>
      </c>
      <c r="P13" s="116" t="s">
        <v>97</v>
      </c>
      <c r="Q13" s="121"/>
      <c r="R13" s="116" t="s">
        <v>97</v>
      </c>
      <c r="S13" s="116" t="s">
        <v>97</v>
      </c>
      <c r="T13" s="121"/>
      <c r="U13" s="114">
        <v>0.3</v>
      </c>
      <c r="V13" s="116">
        <v>0.22</v>
      </c>
      <c r="W13" s="114">
        <v>0.45</v>
      </c>
      <c r="X13" s="116" t="s">
        <v>98</v>
      </c>
      <c r="Y13" s="114">
        <v>2.63</v>
      </c>
      <c r="Z13" s="114">
        <v>2.25</v>
      </c>
      <c r="AA13" s="116">
        <v>4.3</v>
      </c>
      <c r="AB13" s="25" t="s">
        <v>97</v>
      </c>
      <c r="AC13" s="25" t="s">
        <v>98</v>
      </c>
      <c r="AD13" s="116" t="s">
        <v>99</v>
      </c>
      <c r="AE13" s="116" t="s">
        <v>102</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6" t="s">
        <v>130</v>
      </c>
      <c r="AO13" s="114">
        <v>10</v>
      </c>
      <c r="AP13" s="25" t="s">
        <v>119</v>
      </c>
    </row>
    <row r="14" spans="1:42" ht="30" x14ac:dyDescent="0.25">
      <c r="A14" s="82">
        <v>44097</v>
      </c>
      <c r="B14" s="76">
        <v>62516</v>
      </c>
      <c r="C14" s="25"/>
      <c r="D14" s="25" t="s">
        <v>92</v>
      </c>
      <c r="E14" s="77">
        <v>11</v>
      </c>
      <c r="F14" s="78">
        <v>636123</v>
      </c>
      <c r="G14" s="79">
        <v>5484087</v>
      </c>
      <c r="H14" s="77" t="s">
        <v>116</v>
      </c>
      <c r="I14" s="77" t="s">
        <v>117</v>
      </c>
      <c r="J14" s="80"/>
      <c r="K14" s="77" t="s">
        <v>128</v>
      </c>
      <c r="L14" s="25" t="s">
        <v>95</v>
      </c>
      <c r="M14" s="25" t="s">
        <v>96</v>
      </c>
      <c r="N14" s="114">
        <v>1.2</v>
      </c>
      <c r="O14" s="114">
        <v>11.3</v>
      </c>
      <c r="P14" s="116" t="s">
        <v>97</v>
      </c>
      <c r="Q14" s="121"/>
      <c r="R14" s="116" t="s">
        <v>97</v>
      </c>
      <c r="S14" s="116" t="s">
        <v>97</v>
      </c>
      <c r="T14" s="121"/>
      <c r="U14" s="114">
        <v>1.3</v>
      </c>
      <c r="V14" s="116">
        <v>0.49</v>
      </c>
      <c r="W14" s="114">
        <v>0.8</v>
      </c>
      <c r="X14" s="116" t="s">
        <v>97</v>
      </c>
      <c r="Y14" s="114">
        <v>5</v>
      </c>
      <c r="Z14" s="114">
        <v>2.4700000000000002</v>
      </c>
      <c r="AA14" s="116">
        <v>2.67</v>
      </c>
      <c r="AB14" s="25" t="s">
        <v>97</v>
      </c>
      <c r="AC14" s="25" t="s">
        <v>98</v>
      </c>
      <c r="AD14" s="116" t="s">
        <v>99</v>
      </c>
      <c r="AE14" s="116" t="s">
        <v>102</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6" t="s">
        <v>130</v>
      </c>
      <c r="AO14" s="114">
        <v>10</v>
      </c>
      <c r="AP14" s="25" t="s">
        <v>120</v>
      </c>
    </row>
    <row r="15" spans="1:42" ht="30" x14ac:dyDescent="0.25">
      <c r="A15" s="82">
        <v>44119</v>
      </c>
      <c r="B15" s="76">
        <v>50181</v>
      </c>
      <c r="C15" s="25"/>
      <c r="D15" s="25" t="s">
        <v>135</v>
      </c>
      <c r="E15" s="77">
        <v>11</v>
      </c>
      <c r="F15" s="78">
        <v>648276</v>
      </c>
      <c r="G15" s="79">
        <v>5468176</v>
      </c>
      <c r="H15" s="77" t="s">
        <v>136</v>
      </c>
      <c r="I15" s="77" t="s">
        <v>137</v>
      </c>
      <c r="J15" s="80"/>
      <c r="K15" s="77"/>
      <c r="L15" s="25" t="s">
        <v>95</v>
      </c>
      <c r="M15" s="25" t="s">
        <v>96</v>
      </c>
      <c r="N15" s="114">
        <v>1.2</v>
      </c>
      <c r="O15" s="114">
        <v>30</v>
      </c>
      <c r="P15" s="116" t="s">
        <v>97</v>
      </c>
      <c r="Q15" s="121"/>
      <c r="R15" s="116" t="s">
        <v>97</v>
      </c>
      <c r="S15" s="116" t="s">
        <v>97</v>
      </c>
      <c r="T15" s="122"/>
      <c r="U15" s="114">
        <v>3</v>
      </c>
      <c r="V15" s="116">
        <v>0.95</v>
      </c>
      <c r="W15" s="114">
        <v>0.18</v>
      </c>
      <c r="X15" s="116" t="s">
        <v>97</v>
      </c>
      <c r="Y15" s="114">
        <v>7</v>
      </c>
      <c r="Z15" s="114">
        <v>2.6</v>
      </c>
      <c r="AA15" s="116">
        <v>7</v>
      </c>
      <c r="AB15" s="25" t="s">
        <v>97</v>
      </c>
      <c r="AC15" s="25" t="s">
        <v>97</v>
      </c>
      <c r="AD15" s="116" t="s">
        <v>99</v>
      </c>
      <c r="AE15" s="116" t="s">
        <v>102</v>
      </c>
      <c r="AF15" s="22">
        <f t="shared" si="8"/>
        <v>2.166666666666667</v>
      </c>
      <c r="AG15" s="15">
        <f t="shared" si="1"/>
        <v>6</v>
      </c>
      <c r="AH15" s="7">
        <f t="shared" si="2"/>
        <v>10</v>
      </c>
      <c r="AI15" s="7">
        <f t="shared" si="3"/>
        <v>10</v>
      </c>
      <c r="AJ15" s="7">
        <f t="shared" si="4"/>
        <v>10</v>
      </c>
      <c r="AK15" s="12">
        <f t="shared" si="5"/>
        <v>6</v>
      </c>
      <c r="AL15" s="14">
        <f t="shared" si="9"/>
        <v>42</v>
      </c>
      <c r="AM15" s="16" t="str">
        <f t="shared" si="7"/>
        <v>Barrier</v>
      </c>
      <c r="AN15" s="116" t="s">
        <v>130</v>
      </c>
      <c r="AO15" s="114">
        <v>10</v>
      </c>
      <c r="AP15" s="25" t="s">
        <v>138</v>
      </c>
    </row>
    <row r="16" spans="1:42" ht="30" x14ac:dyDescent="0.25">
      <c r="A16" s="82">
        <v>44120</v>
      </c>
      <c r="B16" s="76">
        <v>50152</v>
      </c>
      <c r="C16" s="25"/>
      <c r="D16" s="25" t="s">
        <v>139</v>
      </c>
      <c r="E16" s="77">
        <v>11</v>
      </c>
      <c r="F16" s="78">
        <v>637987</v>
      </c>
      <c r="G16" s="79">
        <v>5483407</v>
      </c>
      <c r="H16" s="77" t="s">
        <v>116</v>
      </c>
      <c r="I16" s="77" t="s">
        <v>140</v>
      </c>
      <c r="J16" s="80">
        <v>0.3</v>
      </c>
      <c r="K16" s="77"/>
      <c r="L16" s="25" t="s">
        <v>95</v>
      </c>
      <c r="M16" s="25" t="s">
        <v>96</v>
      </c>
      <c r="N16" s="114">
        <v>0.9</v>
      </c>
      <c r="O16" s="114">
        <v>30</v>
      </c>
      <c r="P16" s="116" t="s">
        <v>97</v>
      </c>
      <c r="Q16" s="121"/>
      <c r="R16" s="116" t="s">
        <v>97</v>
      </c>
      <c r="S16" s="116" t="s">
        <v>97</v>
      </c>
      <c r="T16" s="122"/>
      <c r="U16" s="114">
        <v>5.5</v>
      </c>
      <c r="V16" s="116">
        <v>0.9</v>
      </c>
      <c r="W16" s="114">
        <v>0.4</v>
      </c>
      <c r="X16" s="116" t="s">
        <v>97</v>
      </c>
      <c r="Y16" s="114">
        <v>1.5</v>
      </c>
      <c r="Z16" s="114">
        <v>2.6</v>
      </c>
      <c r="AA16" s="116">
        <v>3</v>
      </c>
      <c r="AB16" s="25" t="s">
        <v>97</v>
      </c>
      <c r="AC16" s="25" t="s">
        <v>98</v>
      </c>
      <c r="AD16" s="116" t="s">
        <v>99</v>
      </c>
      <c r="AE16" s="116" t="s">
        <v>100</v>
      </c>
      <c r="AF16" s="22">
        <f t="shared" si="8"/>
        <v>2.8888888888888888</v>
      </c>
      <c r="AG16" s="15">
        <f t="shared" si="1"/>
        <v>6</v>
      </c>
      <c r="AH16" s="7">
        <f t="shared" si="2"/>
        <v>10</v>
      </c>
      <c r="AI16" s="7">
        <f t="shared" si="3"/>
        <v>10</v>
      </c>
      <c r="AJ16" s="7">
        <f t="shared" si="4"/>
        <v>5</v>
      </c>
      <c r="AK16" s="12">
        <f t="shared" si="5"/>
        <v>6</v>
      </c>
      <c r="AL16" s="14">
        <f t="shared" si="9"/>
        <v>37</v>
      </c>
      <c r="AM16" s="16" t="str">
        <f t="shared" si="7"/>
        <v>Barrier</v>
      </c>
      <c r="AN16" s="116" t="s">
        <v>130</v>
      </c>
      <c r="AO16" s="114">
        <v>17.5</v>
      </c>
      <c r="AP16" s="25" t="s">
        <v>149</v>
      </c>
    </row>
    <row r="17" spans="1:42" ht="30" x14ac:dyDescent="0.25">
      <c r="A17" s="82">
        <v>44092</v>
      </c>
      <c r="B17" s="76">
        <v>197542</v>
      </c>
      <c r="C17" s="25"/>
      <c r="D17" s="25" t="s">
        <v>103</v>
      </c>
      <c r="E17" s="77">
        <v>11</v>
      </c>
      <c r="F17" s="78">
        <v>643534</v>
      </c>
      <c r="G17" s="79">
        <v>5490723</v>
      </c>
      <c r="H17" s="77" t="s">
        <v>141</v>
      </c>
      <c r="I17" s="77" t="s">
        <v>142</v>
      </c>
      <c r="J17" s="80"/>
      <c r="K17" s="77" t="s">
        <v>143</v>
      </c>
      <c r="L17" s="25" t="s">
        <v>95</v>
      </c>
      <c r="M17" s="25" t="s">
        <v>104</v>
      </c>
      <c r="N17" s="114">
        <v>2.6</v>
      </c>
      <c r="O17" s="114">
        <v>20</v>
      </c>
      <c r="P17" s="116" t="s">
        <v>97</v>
      </c>
      <c r="Q17" s="122"/>
      <c r="R17" s="116" t="s">
        <v>97</v>
      </c>
      <c r="S17" s="116" t="s">
        <v>97</v>
      </c>
      <c r="T17" s="121"/>
      <c r="U17" s="114">
        <v>0.4</v>
      </c>
      <c r="V17" s="116">
        <v>0.4</v>
      </c>
      <c r="W17" s="114">
        <v>0.8</v>
      </c>
      <c r="X17" s="116" t="s">
        <v>97</v>
      </c>
      <c r="Y17" s="114">
        <v>2</v>
      </c>
      <c r="Z17" s="114">
        <v>3.5</v>
      </c>
      <c r="AA17" s="116">
        <v>1</v>
      </c>
      <c r="AB17" s="25" t="s">
        <v>97</v>
      </c>
      <c r="AC17" s="25" t="s">
        <v>97</v>
      </c>
      <c r="AD17" s="116" t="s">
        <v>99</v>
      </c>
      <c r="AE17" s="116" t="s">
        <v>100</v>
      </c>
      <c r="AF17" s="22">
        <f t="shared" si="8"/>
        <v>1.346153846153846</v>
      </c>
      <c r="AG17" s="15">
        <f t="shared" si="1"/>
        <v>3</v>
      </c>
      <c r="AH17" s="7">
        <f t="shared" si="2"/>
        <v>10</v>
      </c>
      <c r="AI17" s="7">
        <f t="shared" si="3"/>
        <v>10</v>
      </c>
      <c r="AJ17" s="7">
        <f t="shared" si="4"/>
        <v>5</v>
      </c>
      <c r="AK17" s="12">
        <f t="shared" si="5"/>
        <v>6</v>
      </c>
      <c r="AL17" s="14">
        <f t="shared" si="9"/>
        <v>34</v>
      </c>
      <c r="AM17" s="16" t="str">
        <f t="shared" si="7"/>
        <v>Barrier</v>
      </c>
      <c r="AN17" s="116" t="s">
        <v>130</v>
      </c>
      <c r="AO17" s="114">
        <v>10</v>
      </c>
      <c r="AP17" s="25" t="s">
        <v>144</v>
      </c>
    </row>
    <row r="18" spans="1:42" ht="30" x14ac:dyDescent="0.25">
      <c r="A18" s="82">
        <v>44091</v>
      </c>
      <c r="B18" s="76">
        <v>197534</v>
      </c>
      <c r="C18" s="25"/>
      <c r="D18" s="25" t="s">
        <v>103</v>
      </c>
      <c r="E18" s="77">
        <v>11</v>
      </c>
      <c r="F18" s="78">
        <v>650144</v>
      </c>
      <c r="G18" s="79">
        <v>5532055</v>
      </c>
      <c r="H18" s="77" t="s">
        <v>150</v>
      </c>
      <c r="I18" s="77" t="s">
        <v>101</v>
      </c>
      <c r="J18" s="80"/>
      <c r="K18" s="77" t="s">
        <v>123</v>
      </c>
      <c r="L18" s="25" t="s">
        <v>95</v>
      </c>
      <c r="M18" s="25" t="s">
        <v>96</v>
      </c>
      <c r="N18" s="114">
        <v>3.2</v>
      </c>
      <c r="O18" s="114">
        <v>18.2</v>
      </c>
      <c r="P18" s="116" t="s">
        <v>97</v>
      </c>
      <c r="Q18" s="121"/>
      <c r="R18" s="116" t="s">
        <v>97</v>
      </c>
      <c r="S18" s="116" t="s">
        <v>97</v>
      </c>
      <c r="T18" s="122"/>
      <c r="U18" s="114">
        <v>1.3</v>
      </c>
      <c r="V18" s="116">
        <v>0.15</v>
      </c>
      <c r="W18" s="114">
        <v>0.6</v>
      </c>
      <c r="X18" s="116" t="s">
        <v>98</v>
      </c>
      <c r="Y18" s="114">
        <v>3.4</v>
      </c>
      <c r="Z18" s="114">
        <v>4.3</v>
      </c>
      <c r="AA18" s="116">
        <v>2</v>
      </c>
      <c r="AB18" s="25" t="s">
        <v>97</v>
      </c>
      <c r="AC18" s="25" t="s">
        <v>97</v>
      </c>
      <c r="AD18" s="116" t="s">
        <v>99</v>
      </c>
      <c r="AE18" s="116" t="s">
        <v>100</v>
      </c>
      <c r="AF18" s="22">
        <f t="shared" si="8"/>
        <v>1.3437499999999998</v>
      </c>
      <c r="AG18" s="15">
        <f t="shared" si="1"/>
        <v>3</v>
      </c>
      <c r="AH18" s="7">
        <f t="shared" si="2"/>
        <v>10</v>
      </c>
      <c r="AI18" s="7">
        <f t="shared" si="3"/>
        <v>5</v>
      </c>
      <c r="AJ18" s="7">
        <f t="shared" si="4"/>
        <v>10</v>
      </c>
      <c r="AK18" s="12">
        <f t="shared" si="5"/>
        <v>6</v>
      </c>
      <c r="AL18" s="14">
        <f t="shared" si="9"/>
        <v>34</v>
      </c>
      <c r="AM18" s="16" t="str">
        <f t="shared" si="7"/>
        <v>Barrier</v>
      </c>
      <c r="AN18" s="116" t="s">
        <v>130</v>
      </c>
      <c r="AO18" s="114">
        <v>10</v>
      </c>
      <c r="AP18" s="25" t="s">
        <v>147</v>
      </c>
    </row>
    <row r="19" spans="1:42" ht="30" x14ac:dyDescent="0.25">
      <c r="A19" s="82">
        <v>44121</v>
      </c>
      <c r="B19" s="76">
        <v>50261</v>
      </c>
      <c r="C19" s="25"/>
      <c r="D19" s="25" t="s">
        <v>139</v>
      </c>
      <c r="E19" s="77">
        <v>11</v>
      </c>
      <c r="F19" s="78">
        <v>669027</v>
      </c>
      <c r="G19" s="79">
        <v>5481115</v>
      </c>
      <c r="H19" s="77" t="s">
        <v>145</v>
      </c>
      <c r="I19" s="77" t="s">
        <v>146</v>
      </c>
      <c r="J19" s="42">
        <v>7.6</v>
      </c>
      <c r="K19" s="77"/>
      <c r="L19" s="25" t="s">
        <v>95</v>
      </c>
      <c r="M19" s="25" t="s">
        <v>96</v>
      </c>
      <c r="N19" s="114">
        <v>2.7</v>
      </c>
      <c r="O19" s="114">
        <v>19</v>
      </c>
      <c r="P19" s="116" t="s">
        <v>97</v>
      </c>
      <c r="Q19" s="121"/>
      <c r="R19" s="116" t="s">
        <v>97</v>
      </c>
      <c r="S19" s="116" t="s">
        <v>97</v>
      </c>
      <c r="T19" s="122"/>
      <c r="U19" s="114">
        <v>3</v>
      </c>
      <c r="V19" s="116">
        <v>1.8</v>
      </c>
      <c r="W19" s="114">
        <v>0</v>
      </c>
      <c r="X19" s="116" t="s">
        <v>98</v>
      </c>
      <c r="Y19" s="114">
        <v>12</v>
      </c>
      <c r="Z19" s="114">
        <v>4.5999999999999996</v>
      </c>
      <c r="AA19" s="116">
        <v>12</v>
      </c>
      <c r="AB19" s="25" t="s">
        <v>97</v>
      </c>
      <c r="AC19" s="25" t="s">
        <v>97</v>
      </c>
      <c r="AD19" s="116" t="s">
        <v>99</v>
      </c>
      <c r="AE19" s="116" t="s">
        <v>109</v>
      </c>
      <c r="AF19" s="22">
        <f t="shared" si="8"/>
        <v>1.7037037037037035</v>
      </c>
      <c r="AG19" s="15">
        <f t="shared" si="1"/>
        <v>3</v>
      </c>
      <c r="AH19" s="7">
        <f t="shared" si="2"/>
        <v>10</v>
      </c>
      <c r="AI19" s="7">
        <f t="shared" si="3"/>
        <v>10</v>
      </c>
      <c r="AJ19" s="7">
        <f t="shared" si="4"/>
        <v>10</v>
      </c>
      <c r="AK19" s="12">
        <f t="shared" si="5"/>
        <v>6</v>
      </c>
      <c r="AL19" s="14">
        <f t="shared" si="9"/>
        <v>39</v>
      </c>
      <c r="AM19" s="16" t="str">
        <f t="shared" si="7"/>
        <v>Barrier</v>
      </c>
      <c r="AN19" s="116" t="s">
        <v>130</v>
      </c>
      <c r="AO19" s="114">
        <v>10</v>
      </c>
      <c r="AP19" s="25" t="s">
        <v>148</v>
      </c>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gRizU/JM2lTTyx0NAlPHEdz6fto9fx6Thcbrw3Cq2aARvZFxXzY1CtI5XReUn1ZPQ0d859+ArOPGzqYAKm6Qzg==" saltValue="WMELsoNPsNrouUTW5UY5S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2"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9:Q10 Q14:Q1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9"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N19"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decimal" allowBlank="1" showInputMessage="1" showErrorMessage="1" errorTitle="Invalid value entered" error="The Average Depth Embededdment you entered is invalid. The Average Depth Embededdment must be &lt;= 0.89 and &gt;= 0.01" sqref="Q8 Q13 Q16" xr:uid="{CA48741A-B530-4A74-A0A6-A6AF1F7B34BC}">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 type="decimal" allowBlank="1" showInputMessage="1" showErrorMessage="1" errorTitle="Invalid value entered" error="The Average Depth Embededdment you entered is invalid. The Average Depth Embededdment must be &lt;= 2.59 and &gt;= 0.01" sqref="Q17" xr:uid="{BDE1C963-926E-4BFA-98EC-5054844CAF5F}">
      <formula1>0.01</formula1>
      <formula2>2.59</formula2>
    </dataValidation>
    <dataValidation type="decimal" allowBlank="1" showInputMessage="1" showErrorMessage="1" errorTitle="Invalid value entered" error="The Average Depth Embededdment you entered is invalid. The Average Depth Embededdment must be &lt;= 3.19 and &gt;= 0.01" sqref="Q18" xr:uid="{20A23B75-C8DB-4072-B149-008DB4CF3341}">
      <formula1>0.01</formula1>
      <formula2>3.19</formula2>
    </dataValidation>
    <dataValidation type="decimal" allowBlank="1" showInputMessage="1" showErrorMessage="1" errorTitle="Invalid value entered" error="The Average Depth Embededdment you entered is invalid. The Average Depth Embededdment must be &lt;= 2.69 and &gt;= 0.01" sqref="Q19" xr:uid="{782C0F9D-0CE9-435B-BBF6-FB777AFAA4DE}">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2021-01-28T15:15:02Z</dcterms:modified>
</cp:coreProperties>
</file>