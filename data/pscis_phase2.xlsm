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passagr_phase1_template\data\"/>
    </mc:Choice>
  </mc:AlternateContent>
  <xr:revisionPtr revIDLastSave="0" documentId="13_ncr:1_{FB07B429-9EBF-4983-8018-F9C6573462E8}"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L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L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L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s="1"/>
  <c r="AL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L5142" i="2" s="1"/>
  <c r="AG5142" i="2"/>
  <c r="AF5142" i="2"/>
  <c r="AK5142" i="2" s="1"/>
  <c r="AJ5141" i="2"/>
  <c r="AI5141" i="2"/>
  <c r="AH5141" i="2"/>
  <c r="AG5141" i="2"/>
  <c r="AF5141" i="2"/>
  <c r="AK5141" i="2" s="1"/>
  <c r="AJ5140" i="2"/>
  <c r="AI5140" i="2"/>
  <c r="AH5140" i="2"/>
  <c r="AG5140" i="2"/>
  <c r="AF5140" i="2"/>
  <c r="AK5140" i="2" s="1"/>
  <c r="AL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L5130" i="2" s="1"/>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L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L5111" i="2" s="1"/>
  <c r="AJ5110" i="2"/>
  <c r="AI5110" i="2"/>
  <c r="AH5110" i="2"/>
  <c r="AG5110" i="2"/>
  <c r="AF5110" i="2"/>
  <c r="AK5110" i="2"/>
  <c r="AJ5109" i="2"/>
  <c r="AI5109" i="2"/>
  <c r="AH5109" i="2"/>
  <c r="AG5109" i="2"/>
  <c r="AF5109" i="2"/>
  <c r="AK5109" i="2" s="1"/>
  <c r="AJ5108" i="2"/>
  <c r="AL5108" i="2" s="1"/>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L5087" i="2" s="1"/>
  <c r="AJ5086" i="2"/>
  <c r="AI5086" i="2"/>
  <c r="AH5086" i="2"/>
  <c r="AG5086" i="2"/>
  <c r="AF5086" i="2"/>
  <c r="AK5086" i="2"/>
  <c r="AJ5085" i="2"/>
  <c r="AI5085" i="2"/>
  <c r="AH5085" i="2"/>
  <c r="AG5085" i="2"/>
  <c r="AF5085" i="2"/>
  <c r="AK5085" i="2" s="1"/>
  <c r="AJ5084" i="2"/>
  <c r="AL5084" i="2" s="1"/>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L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L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L105" i="2" s="1"/>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L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L118" i="2" s="1"/>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L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L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L142" i="2" s="1"/>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L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L153" i="2" s="1"/>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L160" i="2" s="1"/>
  <c r="AG160" i="2"/>
  <c r="AH160" i="2"/>
  <c r="AI160" i="2"/>
  <c r="AJ160" i="2"/>
  <c r="AF161" i="2"/>
  <c r="AK161" i="2"/>
  <c r="AG161" i="2"/>
  <c r="AH161" i="2"/>
  <c r="AI161" i="2"/>
  <c r="AJ161" i="2"/>
  <c r="AF162" i="2"/>
  <c r="AK162" i="2" s="1"/>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L172" i="2" s="1"/>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L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L184" i="2" s="1"/>
  <c r="AG184" i="2"/>
  <c r="AH184" i="2"/>
  <c r="AI184" i="2"/>
  <c r="AJ184" i="2"/>
  <c r="AF185" i="2"/>
  <c r="AK185" i="2" s="1"/>
  <c r="AG185" i="2"/>
  <c r="AH185" i="2"/>
  <c r="AI185" i="2"/>
  <c r="AJ185" i="2"/>
  <c r="AF186" i="2"/>
  <c r="AK186" i="2" s="1"/>
  <c r="AG186" i="2"/>
  <c r="AH186" i="2"/>
  <c r="AL186" i="2" s="1"/>
  <c r="AI186" i="2"/>
  <c r="AJ186" i="2"/>
  <c r="AF187" i="2"/>
  <c r="AK187" i="2" s="1"/>
  <c r="AG187" i="2"/>
  <c r="AH187" i="2"/>
  <c r="AI187" i="2"/>
  <c r="AJ187" i="2"/>
  <c r="AF188" i="2"/>
  <c r="AK188" i="2" s="1"/>
  <c r="AG188" i="2"/>
  <c r="AH188" i="2"/>
  <c r="AI188" i="2"/>
  <c r="AJ188" i="2"/>
  <c r="AL188" i="2" s="1"/>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L196" i="2" s="1"/>
  <c r="AG196" i="2"/>
  <c r="AH196" i="2"/>
  <c r="AI196" i="2"/>
  <c r="AJ196" i="2"/>
  <c r="AF197" i="2"/>
  <c r="AK197" i="2" s="1"/>
  <c r="AG197" i="2"/>
  <c r="AH197" i="2"/>
  <c r="AI197" i="2"/>
  <c r="AJ197" i="2"/>
  <c r="AF198" i="2"/>
  <c r="AK198" i="2" s="1"/>
  <c r="AG198" i="2"/>
  <c r="AH198" i="2"/>
  <c r="AL198" i="2" s="1"/>
  <c r="AI198" i="2"/>
  <c r="AJ198" i="2"/>
  <c r="AF199" i="2"/>
  <c r="AK199" i="2" s="1"/>
  <c r="AG199" i="2"/>
  <c r="AH199" i="2"/>
  <c r="AI199" i="2"/>
  <c r="AJ199" i="2"/>
  <c r="AF200" i="2"/>
  <c r="AK200" i="2" s="1"/>
  <c r="AG200" i="2"/>
  <c r="AH200" i="2"/>
  <c r="AI200" i="2"/>
  <c r="AJ200" i="2"/>
  <c r="AL200" i="2" s="1"/>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L208" i="2" s="1"/>
  <c r="AG208" i="2"/>
  <c r="AH208" i="2"/>
  <c r="AI208" i="2"/>
  <c r="AJ208" i="2"/>
  <c r="AF209" i="2"/>
  <c r="AK209" i="2" s="1"/>
  <c r="AG209" i="2"/>
  <c r="AH209" i="2"/>
  <c r="AI209" i="2"/>
  <c r="AJ209" i="2"/>
  <c r="AF210" i="2"/>
  <c r="AK210" i="2" s="1"/>
  <c r="AG210" i="2"/>
  <c r="AH210" i="2"/>
  <c r="AL210" i="2" s="1"/>
  <c r="AI210" i="2"/>
  <c r="AJ210" i="2"/>
  <c r="AF211" i="2"/>
  <c r="AK211" i="2" s="1"/>
  <c r="AG211" i="2"/>
  <c r="AH211" i="2"/>
  <c r="AI211" i="2"/>
  <c r="AJ211" i="2"/>
  <c r="AF212" i="2"/>
  <c r="AK212" i="2" s="1"/>
  <c r="AG212" i="2"/>
  <c r="AH212" i="2"/>
  <c r="AI212" i="2"/>
  <c r="AJ212" i="2"/>
  <c r="AL212" i="2" s="1"/>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L220" i="2" s="1"/>
  <c r="AG220" i="2"/>
  <c r="AH220" i="2"/>
  <c r="AI220" i="2"/>
  <c r="AJ220" i="2"/>
  <c r="AF221" i="2"/>
  <c r="AK221" i="2" s="1"/>
  <c r="AG221" i="2"/>
  <c r="AH221" i="2"/>
  <c r="AI221" i="2"/>
  <c r="AJ221" i="2"/>
  <c r="AF222" i="2"/>
  <c r="AK222" i="2" s="1"/>
  <c r="AG222" i="2"/>
  <c r="AH222" i="2"/>
  <c r="AL222" i="2" s="1"/>
  <c r="AI222" i="2"/>
  <c r="AJ222" i="2"/>
  <c r="AF223" i="2"/>
  <c r="AK223" i="2" s="1"/>
  <c r="AG223" i="2"/>
  <c r="AH223" i="2"/>
  <c r="AI223" i="2"/>
  <c r="AJ223" i="2"/>
  <c r="AF224" i="2"/>
  <c r="AK224" i="2" s="1"/>
  <c r="AG224" i="2"/>
  <c r="AH224" i="2"/>
  <c r="AI224" i="2"/>
  <c r="AJ224" i="2"/>
  <c r="AL224" i="2" s="1"/>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L232" i="2" s="1"/>
  <c r="AG232" i="2"/>
  <c r="AH232" i="2"/>
  <c r="AI232" i="2"/>
  <c r="AJ232" i="2"/>
  <c r="AF233" i="2"/>
  <c r="AK233" i="2" s="1"/>
  <c r="AG233" i="2"/>
  <c r="AH233" i="2"/>
  <c r="AI233" i="2"/>
  <c r="AJ233" i="2"/>
  <c r="AF234" i="2"/>
  <c r="AK234" i="2" s="1"/>
  <c r="AG234" i="2"/>
  <c r="AH234" i="2"/>
  <c r="AL234" i="2" s="1"/>
  <c r="AI234" i="2"/>
  <c r="AJ234" i="2"/>
  <c r="AF235" i="2"/>
  <c r="AK235" i="2" s="1"/>
  <c r="AG235" i="2"/>
  <c r="AH235" i="2"/>
  <c r="AI235" i="2"/>
  <c r="AJ235" i="2"/>
  <c r="AF236" i="2"/>
  <c r="AK236" i="2" s="1"/>
  <c r="AG236" i="2"/>
  <c r="AH236" i="2"/>
  <c r="AI236" i="2"/>
  <c r="AJ236" i="2"/>
  <c r="AL236" i="2" s="1"/>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L244" i="2" s="1"/>
  <c r="AG244" i="2"/>
  <c r="AH244" i="2"/>
  <c r="AI244" i="2"/>
  <c r="AJ244" i="2"/>
  <c r="AF245" i="2"/>
  <c r="AK245" i="2" s="1"/>
  <c r="AG245" i="2"/>
  <c r="AH245" i="2"/>
  <c r="AI245" i="2"/>
  <c r="AJ245" i="2"/>
  <c r="AF246" i="2"/>
  <c r="AK246" i="2" s="1"/>
  <c r="AG246" i="2"/>
  <c r="AH246" i="2"/>
  <c r="AL246" i="2" s="1"/>
  <c r="AI246" i="2"/>
  <c r="AJ246" i="2"/>
  <c r="AF247" i="2"/>
  <c r="AK247" i="2" s="1"/>
  <c r="AG247" i="2"/>
  <c r="AH247" i="2"/>
  <c r="AI247" i="2"/>
  <c r="AJ247" i="2"/>
  <c r="AF248" i="2"/>
  <c r="AK248" i="2" s="1"/>
  <c r="AG248" i="2"/>
  <c r="AH248" i="2"/>
  <c r="AI248" i="2"/>
  <c r="AJ248" i="2"/>
  <c r="AL248" i="2" s="1"/>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L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L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L280" i="2" s="1"/>
  <c r="AG280" i="2"/>
  <c r="AH280" i="2"/>
  <c r="AI280" i="2"/>
  <c r="AJ280" i="2"/>
  <c r="AF281" i="2"/>
  <c r="AK281" i="2"/>
  <c r="AG281" i="2"/>
  <c r="AH281" i="2"/>
  <c r="AI281" i="2"/>
  <c r="AJ281" i="2"/>
  <c r="AF282" i="2"/>
  <c r="AK282" i="2" s="1"/>
  <c r="AG282" i="2"/>
  <c r="AL282" i="2" s="1"/>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L286" i="2" s="1"/>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L302" i="2" s="1"/>
  <c r="AG302" i="2"/>
  <c r="AH302" i="2"/>
  <c r="AI302" i="2"/>
  <c r="AJ302" i="2"/>
  <c r="AF303" i="2"/>
  <c r="AK303" i="2"/>
  <c r="AG303" i="2"/>
  <c r="AH303" i="2"/>
  <c r="AI303" i="2"/>
  <c r="AJ303" i="2"/>
  <c r="AF304" i="2"/>
  <c r="AK304" i="2" s="1"/>
  <c r="AG304" i="2"/>
  <c r="AL304" i="2" s="1"/>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L319" i="2" s="1"/>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L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L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L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L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L515" i="2" s="1"/>
  <c r="AF516" i="2"/>
  <c r="AK516" i="2" s="1"/>
  <c r="AG516" i="2"/>
  <c r="AH516" i="2"/>
  <c r="AI516" i="2"/>
  <c r="AJ516" i="2"/>
  <c r="AF517" i="2"/>
  <c r="AK517" i="2"/>
  <c r="AG517" i="2"/>
  <c r="AH517" i="2"/>
  <c r="AI517" i="2"/>
  <c r="AJ517" i="2"/>
  <c r="AF518" i="2"/>
  <c r="AK518" i="2" s="1"/>
  <c r="AL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L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L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L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L706" i="2" s="1"/>
  <c r="AJ706" i="2"/>
  <c r="AF707" i="2"/>
  <c r="AK707" i="2" s="1"/>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s="1"/>
  <c r="AG711" i="2"/>
  <c r="AH711" i="2"/>
  <c r="AL711" i="2" s="1"/>
  <c r="AI711" i="2"/>
  <c r="AJ711" i="2"/>
  <c r="AF712" i="2"/>
  <c r="AK712" i="2" s="1"/>
  <c r="AG712" i="2"/>
  <c r="AH712" i="2"/>
  <c r="AI712" i="2"/>
  <c r="AJ712" i="2"/>
  <c r="AF713" i="2"/>
  <c r="AK713" i="2" s="1"/>
  <c r="AG713" i="2"/>
  <c r="AH713" i="2"/>
  <c r="AI713" i="2"/>
  <c r="AJ713" i="2"/>
  <c r="AL713" i="2" s="1"/>
  <c r="AF714" i="2"/>
  <c r="AK714" i="2" s="1"/>
  <c r="AG714" i="2"/>
  <c r="AH714" i="2"/>
  <c r="AI714" i="2"/>
  <c r="AJ714" i="2"/>
  <c r="AF715" i="2"/>
  <c r="AK715" i="2" s="1"/>
  <c r="AG715" i="2"/>
  <c r="AH715" i="2"/>
  <c r="AI715" i="2"/>
  <c r="AJ715" i="2"/>
  <c r="AF716" i="2"/>
  <c r="AK716" i="2" s="1"/>
  <c r="AG716" i="2"/>
  <c r="AL716" i="2" s="1"/>
  <c r="AH716" i="2"/>
  <c r="AI716" i="2"/>
  <c r="AJ716" i="2"/>
  <c r="AF717" i="2"/>
  <c r="AK717" i="2" s="1"/>
  <c r="AG717" i="2"/>
  <c r="AH717" i="2"/>
  <c r="AI717" i="2"/>
  <c r="AJ717" i="2"/>
  <c r="AF718" i="2"/>
  <c r="AK718" i="2" s="1"/>
  <c r="AG718" i="2"/>
  <c r="AH718" i="2"/>
  <c r="AI718" i="2"/>
  <c r="AL718" i="2" s="1"/>
  <c r="AJ718" i="2"/>
  <c r="AF719" i="2"/>
  <c r="AK719" i="2" s="1"/>
  <c r="AG719" i="2"/>
  <c r="AH719" i="2"/>
  <c r="AI719" i="2"/>
  <c r="AJ719" i="2"/>
  <c r="AF720" i="2"/>
  <c r="AK720" i="2" s="1"/>
  <c r="AG720" i="2"/>
  <c r="AH720" i="2"/>
  <c r="AI720" i="2"/>
  <c r="AJ720" i="2"/>
  <c r="AF721" i="2"/>
  <c r="AK721" i="2" s="1"/>
  <c r="AL721" i="2" s="1"/>
  <c r="AG721" i="2"/>
  <c r="AH721" i="2"/>
  <c r="AI721" i="2"/>
  <c r="AJ721" i="2"/>
  <c r="AF722" i="2"/>
  <c r="AK722" i="2" s="1"/>
  <c r="AG722" i="2"/>
  <c r="AH722" i="2"/>
  <c r="AI722" i="2"/>
  <c r="AJ722" i="2"/>
  <c r="AF723" i="2"/>
  <c r="AK723" i="2" s="1"/>
  <c r="AG723" i="2"/>
  <c r="AH723" i="2"/>
  <c r="AL723" i="2" s="1"/>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L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L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L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L810" i="2" s="1"/>
  <c r="AF811" i="2"/>
  <c r="AK811" i="2"/>
  <c r="AG811" i="2"/>
  <c r="AH811" i="2"/>
  <c r="AI811" i="2"/>
  <c r="AJ811" i="2"/>
  <c r="AF812" i="2"/>
  <c r="AK812" i="2" s="1"/>
  <c r="AG812" i="2"/>
  <c r="AH812" i="2"/>
  <c r="AI812" i="2"/>
  <c r="AJ812" i="2"/>
  <c r="AF813" i="2"/>
  <c r="AK813" i="2" s="1"/>
  <c r="AL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L856" i="2" s="1"/>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L930" i="2" s="1"/>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L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L942" i="2" s="1"/>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L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L970" i="2" s="1"/>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L980" i="2" s="1"/>
  <c r="AG980" i="2"/>
  <c r="AH980" i="2"/>
  <c r="AI980" i="2"/>
  <c r="AJ980" i="2"/>
  <c r="AF981" i="2"/>
  <c r="AK981" i="2" s="1"/>
  <c r="AG981" i="2"/>
  <c r="AH981" i="2"/>
  <c r="AI981" i="2"/>
  <c r="AJ981" i="2"/>
  <c r="AF982" i="2"/>
  <c r="AK982" i="2" s="1"/>
  <c r="AG982" i="2"/>
  <c r="AH982" i="2"/>
  <c r="AL982" i="2" s="1"/>
  <c r="AI982" i="2"/>
  <c r="AJ982" i="2"/>
  <c r="AF983" i="2"/>
  <c r="AK983" i="2" s="1"/>
  <c r="AG983" i="2"/>
  <c r="AH983" i="2"/>
  <c r="AI983" i="2"/>
  <c r="AL983" i="2" s="1"/>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L1005" i="2" s="1"/>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L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L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L1029" i="2" s="1"/>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L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L1053" i="2" s="1"/>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L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L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L1077" i="2" s="1"/>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L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L1089" i="2" s="1"/>
  <c r="AG1089" i="2"/>
  <c r="AH1089" i="2"/>
  <c r="AI1089" i="2"/>
  <c r="AJ1089" i="2"/>
  <c r="AF1090" i="2"/>
  <c r="AK1090" i="2"/>
  <c r="AG1090" i="2"/>
  <c r="AH1090" i="2"/>
  <c r="AI1090" i="2"/>
  <c r="AJ1090" i="2"/>
  <c r="AF1091" i="2"/>
  <c r="AK1091" i="2"/>
  <c r="AL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L1103" i="2" s="1"/>
  <c r="AI1103" i="2"/>
  <c r="AJ1103" i="2"/>
  <c r="AF1104" i="2"/>
  <c r="AK1104" i="2" s="1"/>
  <c r="AG1104" i="2"/>
  <c r="AH1104" i="2"/>
  <c r="AI1104" i="2"/>
  <c r="AJ1104" i="2"/>
  <c r="AF1105" i="2"/>
  <c r="AK1105" i="2" s="1"/>
  <c r="AL1105" i="2" s="1"/>
  <c r="AG1105" i="2"/>
  <c r="AH1105" i="2"/>
  <c r="AI1105" i="2"/>
  <c r="AJ1105" i="2"/>
  <c r="AF1106" i="2"/>
  <c r="AK1106" i="2" s="1"/>
  <c r="AG1106" i="2"/>
  <c r="AH1106" i="2"/>
  <c r="AI1106" i="2"/>
  <c r="AJ1106" i="2"/>
  <c r="AF1107" i="2"/>
  <c r="AK1107" i="2" s="1"/>
  <c r="AG1107" i="2"/>
  <c r="AH1107" i="2"/>
  <c r="AL1107" i="2" s="1"/>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L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L1528" i="2" s="1"/>
  <c r="AJ1528" i="2"/>
  <c r="AF1529" i="2"/>
  <c r="AK1529" i="2" s="1"/>
  <c r="AG1529" i="2"/>
  <c r="AH1529" i="2"/>
  <c r="AI1529" i="2"/>
  <c r="AJ1529" i="2"/>
  <c r="AF1530" i="2"/>
  <c r="AK1530" i="2" s="1"/>
  <c r="AG1530" i="2"/>
  <c r="AH1530" i="2"/>
  <c r="AI1530" i="2"/>
  <c r="AJ1530" i="2"/>
  <c r="AF1531" i="2"/>
  <c r="AK1531" i="2" s="1"/>
  <c r="AL1531" i="2" s="1"/>
  <c r="AG1531" i="2"/>
  <c r="AH1531" i="2"/>
  <c r="AI1531" i="2"/>
  <c r="AJ1531" i="2"/>
  <c r="AF1532" i="2"/>
  <c r="AK1532" i="2"/>
  <c r="AG1532" i="2"/>
  <c r="AH1532" i="2"/>
  <c r="AI1532" i="2"/>
  <c r="AJ1532" i="2"/>
  <c r="AF1533" i="2"/>
  <c r="AK1533" i="2" s="1"/>
  <c r="AG1533" i="2"/>
  <c r="AL1533" i="2" s="1"/>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L1544" i="2" s="1"/>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L1588" i="2" s="1"/>
  <c r="AH1588" i="2"/>
  <c r="AI1588" i="2"/>
  <c r="AJ1588" i="2"/>
  <c r="AF1589" i="2"/>
  <c r="AK1589" i="2"/>
  <c r="AG1589" i="2"/>
  <c r="AL1589" i="2" s="1"/>
  <c r="AH1589" i="2"/>
  <c r="AI1589" i="2"/>
  <c r="AJ1589" i="2"/>
  <c r="AF1590" i="2"/>
  <c r="AK1590" i="2"/>
  <c r="AG1590" i="2"/>
  <c r="AL1590" i="2"/>
  <c r="AH1590" i="2"/>
  <c r="AI1590" i="2"/>
  <c r="AJ1590" i="2"/>
  <c r="AF1591" i="2"/>
  <c r="AK1591" i="2"/>
  <c r="AG1591" i="2"/>
  <c r="AH1591" i="2"/>
  <c r="AI1591" i="2"/>
  <c r="AJ1591" i="2"/>
  <c r="AF1592" i="2"/>
  <c r="AK1592" i="2" s="1"/>
  <c r="AG1592" i="2"/>
  <c r="AH1592" i="2"/>
  <c r="AI1592" i="2"/>
  <c r="AJ1592" i="2"/>
  <c r="AF1593" i="2"/>
  <c r="AK1593" i="2"/>
  <c r="AG1593" i="2"/>
  <c r="AL1593" i="2" s="1"/>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L1615" i="2" s="1"/>
  <c r="AG1615" i="2"/>
  <c r="AH1615" i="2"/>
  <c r="AI1615" i="2"/>
  <c r="AJ1615" i="2"/>
  <c r="AF1616" i="2"/>
  <c r="AK1616" i="2" s="1"/>
  <c r="AG1616" i="2"/>
  <c r="AH1616" i="2"/>
  <c r="AI1616" i="2"/>
  <c r="AJ1616" i="2"/>
  <c r="AF1617" i="2"/>
  <c r="AK1617" i="2"/>
  <c r="AG1617" i="2"/>
  <c r="AL1617" i="2" s="1"/>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L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L1650" i="2" s="1"/>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L1662" i="2" s="1"/>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L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L1674" i="2" s="1"/>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L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L1686" i="2" s="1"/>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L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L1698" i="2" s="1"/>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L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L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L1722" i="2" s="1"/>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L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L1734" i="2" s="1"/>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L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L1746" i="2" s="1"/>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L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L1758" i="2" s="1"/>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L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L1770" i="2" s="1"/>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L1786" i="2" s="1"/>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L1828" i="2" s="1"/>
  <c r="AG1828" i="2"/>
  <c r="AH1828" i="2"/>
  <c r="AI1828" i="2"/>
  <c r="AJ1828" i="2"/>
  <c r="AF1829" i="2"/>
  <c r="AK1829" i="2"/>
  <c r="AG1829" i="2"/>
  <c r="AH1829" i="2"/>
  <c r="AI1829" i="2"/>
  <c r="AJ1829" i="2"/>
  <c r="AF1830" i="2"/>
  <c r="AK1830" i="2" s="1"/>
  <c r="AG1830" i="2"/>
  <c r="AL1830" i="2" s="1"/>
  <c r="AH1830" i="2"/>
  <c r="AI1830" i="2"/>
  <c r="AJ1830" i="2"/>
  <c r="AF1831" i="2"/>
  <c r="AK1831" i="2"/>
  <c r="AG1831" i="2"/>
  <c r="AH1831" i="2"/>
  <c r="AI1831" i="2"/>
  <c r="AJ1831" i="2"/>
  <c r="AF1832" i="2"/>
  <c r="AK1832" i="2" s="1"/>
  <c r="AG1832" i="2"/>
  <c r="AH1832" i="2"/>
  <c r="AL1832" i="2" s="1"/>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L1845" i="2" s="1"/>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L1852" i="2" s="1"/>
  <c r="AG1852" i="2"/>
  <c r="AH1852" i="2"/>
  <c r="AI1852" i="2"/>
  <c r="AJ1852" i="2"/>
  <c r="AF1853" i="2"/>
  <c r="AK1853" i="2"/>
  <c r="AG1853" i="2"/>
  <c r="AH1853" i="2"/>
  <c r="AI1853" i="2"/>
  <c r="AJ1853" i="2"/>
  <c r="AF1854" i="2"/>
  <c r="AK1854" i="2" s="1"/>
  <c r="AG1854" i="2"/>
  <c r="AL1854" i="2" s="1"/>
  <c r="AH1854" i="2"/>
  <c r="AI1854" i="2"/>
  <c r="AJ1854" i="2"/>
  <c r="AF1855" i="2"/>
  <c r="AK1855" i="2"/>
  <c r="AG1855" i="2"/>
  <c r="AH1855" i="2"/>
  <c r="AI1855" i="2"/>
  <c r="AJ1855" i="2"/>
  <c r="AF1856" i="2"/>
  <c r="AK1856" i="2" s="1"/>
  <c r="AG1856" i="2"/>
  <c r="AH1856" i="2"/>
  <c r="AL1856" i="2" s="1"/>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L1869" i="2" s="1"/>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L1876" i="2" s="1"/>
  <c r="AG1876" i="2"/>
  <c r="AH1876" i="2"/>
  <c r="AI1876" i="2"/>
  <c r="AJ1876" i="2"/>
  <c r="AF1877" i="2"/>
  <c r="AK1877" i="2"/>
  <c r="AG1877" i="2"/>
  <c r="AH1877" i="2"/>
  <c r="AI1877" i="2"/>
  <c r="AJ1877" i="2"/>
  <c r="AF1878" i="2"/>
  <c r="AK1878" i="2" s="1"/>
  <c r="AG1878" i="2"/>
  <c r="AL1878" i="2" s="1"/>
  <c r="AH1878" i="2"/>
  <c r="AI1878" i="2"/>
  <c r="AJ1878" i="2"/>
  <c r="AF1879" i="2"/>
  <c r="AK1879" i="2"/>
  <c r="AG1879" i="2"/>
  <c r="AH1879" i="2"/>
  <c r="AI1879" i="2"/>
  <c r="AJ1879" i="2"/>
  <c r="AF1880" i="2"/>
  <c r="AK1880" i="2" s="1"/>
  <c r="AG1880" i="2"/>
  <c r="AH1880" i="2"/>
  <c r="AL1880" i="2" s="1"/>
  <c r="AI1880" i="2"/>
  <c r="AJ1880" i="2"/>
  <c r="AF1881" i="2"/>
  <c r="AK1881" i="2"/>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L1891" i="2" s="1"/>
  <c r="AG1891" i="2"/>
  <c r="AH1891" i="2"/>
  <c r="AI1891" i="2"/>
  <c r="AJ1891" i="2"/>
  <c r="AF1892" i="2"/>
  <c r="AK1892" i="2"/>
  <c r="AG1892" i="2"/>
  <c r="AH1892" i="2"/>
  <c r="AI1892" i="2"/>
  <c r="AJ1892" i="2"/>
  <c r="AF1893" i="2"/>
  <c r="AK1893" i="2" s="1"/>
  <c r="AG1893" i="2"/>
  <c r="AL1893" i="2" s="1"/>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L1904" i="2" s="1"/>
  <c r="AG1904" i="2"/>
  <c r="AH1904" i="2"/>
  <c r="AI1904" i="2"/>
  <c r="AJ1904" i="2"/>
  <c r="AF1905" i="2"/>
  <c r="AK1905" i="2" s="1"/>
  <c r="AG1905" i="2"/>
  <c r="AH1905" i="2"/>
  <c r="AI1905" i="2"/>
  <c r="AJ1905" i="2"/>
  <c r="AF1906" i="2"/>
  <c r="AK1906" i="2"/>
  <c r="AG1906" i="2"/>
  <c r="AL1906" i="2" s="1"/>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L1915" i="2" s="1"/>
  <c r="AG1915" i="2"/>
  <c r="AH1915" i="2"/>
  <c r="AI1915" i="2"/>
  <c r="AJ1915" i="2"/>
  <c r="AF1916" i="2"/>
  <c r="AK1916" i="2"/>
  <c r="AG1916" i="2"/>
  <c r="AH1916" i="2"/>
  <c r="AI1916" i="2"/>
  <c r="AJ1916" i="2"/>
  <c r="AF1917" i="2"/>
  <c r="AK1917" i="2" s="1"/>
  <c r="AG1917" i="2"/>
  <c r="AL1917" i="2" s="1"/>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L1928" i="2" s="1"/>
  <c r="AG1928" i="2"/>
  <c r="AH1928" i="2"/>
  <c r="AI1928" i="2"/>
  <c r="AJ1928" i="2"/>
  <c r="AF1929" i="2"/>
  <c r="AK1929" i="2" s="1"/>
  <c r="AG1929" i="2"/>
  <c r="AH1929" i="2"/>
  <c r="AI1929" i="2"/>
  <c r="AJ1929" i="2"/>
  <c r="AF1930" i="2"/>
  <c r="AK1930" i="2"/>
  <c r="AG1930" i="2"/>
  <c r="AL1930" i="2" s="1"/>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L1939" i="2" s="1"/>
  <c r="AG1939" i="2"/>
  <c r="AH1939" i="2"/>
  <c r="AI1939" i="2"/>
  <c r="AJ1939" i="2"/>
  <c r="AF1940" i="2"/>
  <c r="AK1940" i="2"/>
  <c r="AG1940" i="2"/>
  <c r="AH1940" i="2"/>
  <c r="AI1940" i="2"/>
  <c r="AJ1940" i="2"/>
  <c r="AF1941" i="2"/>
  <c r="AK1941" i="2" s="1"/>
  <c r="AG1941" i="2"/>
  <c r="AL1941" i="2" s="1"/>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L1952" i="2" s="1"/>
  <c r="AG1952" i="2"/>
  <c r="AH1952" i="2"/>
  <c r="AI1952" i="2"/>
  <c r="AJ1952" i="2"/>
  <c r="AF1953" i="2"/>
  <c r="AK1953" i="2" s="1"/>
  <c r="AG1953" i="2"/>
  <c r="AH1953" i="2"/>
  <c r="AI1953" i="2"/>
  <c r="AJ1953" i="2"/>
  <c r="AF1954" i="2"/>
  <c r="AK1954" i="2"/>
  <c r="AG1954" i="2"/>
  <c r="AL1954" i="2" s="1"/>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L1963" i="2" s="1"/>
  <c r="AG1963" i="2"/>
  <c r="AH1963" i="2"/>
  <c r="AI1963" i="2"/>
  <c r="AJ1963" i="2"/>
  <c r="AF1964" i="2"/>
  <c r="AK1964" i="2"/>
  <c r="AG1964" i="2"/>
  <c r="AH1964" i="2"/>
  <c r="AI1964" i="2"/>
  <c r="AJ1964" i="2"/>
  <c r="AF1965" i="2"/>
  <c r="AK1965" i="2" s="1"/>
  <c r="AG1965" i="2"/>
  <c r="AL1965" i="2" s="1"/>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L2004" i="2" s="1"/>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L2151" i="2" s="1"/>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L2364" i="2" s="1"/>
  <c r="AI2364" i="2"/>
  <c r="AJ2364" i="2"/>
  <c r="AF2365" i="2"/>
  <c r="AK2365" i="2"/>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s="1"/>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L2383" i="2" s="1"/>
  <c r="AF2384" i="2"/>
  <c r="AK2384" i="2" s="1"/>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L2406" i="2" s="1"/>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s="1"/>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L2438" i="2" s="1"/>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L2448" i="2" s="1"/>
  <c r="AG2448" i="2"/>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L2544" i="2"/>
  <c r="AG2544" i="2"/>
  <c r="AH2544" i="2"/>
  <c r="AI2544" i="2"/>
  <c r="AJ2544" i="2"/>
  <c r="AF2545" i="2"/>
  <c r="AK2545" i="2"/>
  <c r="AG2545" i="2"/>
  <c r="AH2545" i="2"/>
  <c r="AI2545" i="2"/>
  <c r="AL2545" i="2" s="1"/>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L2606" i="2" s="1"/>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L2673" i="2" s="1"/>
  <c r="AH2673" i="2"/>
  <c r="AI2673" i="2"/>
  <c r="AJ2673" i="2"/>
  <c r="AF2674" i="2"/>
  <c r="AK2674" i="2"/>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s="1"/>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L3233" i="2" s="1"/>
  <c r="AG3233" i="2"/>
  <c r="AH3233" i="2"/>
  <c r="AI3233" i="2"/>
  <c r="AJ3233" i="2"/>
  <c r="AF3234" i="2"/>
  <c r="AK3234" i="2" s="1"/>
  <c r="AG3234" i="2"/>
  <c r="AH3234" i="2"/>
  <c r="AI3234" i="2"/>
  <c r="AJ3234" i="2"/>
  <c r="AL3234" i="2" s="1"/>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G3252" i="2"/>
  <c r="AH3252" i="2"/>
  <c r="AI3252" i="2"/>
  <c r="AJ3252" i="2"/>
  <c r="AF3253" i="2"/>
  <c r="AK3253" i="2"/>
  <c r="AG3253" i="2"/>
  <c r="AH3253" i="2"/>
  <c r="AI3253" i="2"/>
  <c r="AL3253" i="2" s="1"/>
  <c r="AJ3253" i="2"/>
  <c r="AF3254" i="2"/>
  <c r="AK3254" i="2" s="1"/>
  <c r="AG3254" i="2"/>
  <c r="AH3254" i="2"/>
  <c r="AI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G3308" i="2"/>
  <c r="AL3308" i="2" s="1"/>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L3328" i="2" s="1"/>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L3344" i="2" s="1"/>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H3378" i="2"/>
  <c r="AL3378" i="2" s="1"/>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L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H3440" i="2"/>
  <c r="AL3440" i="2" s="1"/>
  <c r="AI3440" i="2"/>
  <c r="AJ3440" i="2"/>
  <c r="AF3441" i="2"/>
  <c r="AK3441" i="2" s="1"/>
  <c r="AG3441" i="2"/>
  <c r="AH3441" i="2"/>
  <c r="AI3441" i="2"/>
  <c r="AJ3441" i="2"/>
  <c r="AF3442" i="2"/>
  <c r="AK3442" i="2" s="1"/>
  <c r="AL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L3465" i="2" s="1"/>
  <c r="AJ3465" i="2"/>
  <c r="AF3466" i="2"/>
  <c r="AK3466" i="2"/>
  <c r="AG3466" i="2"/>
  <c r="AH3466" i="2"/>
  <c r="AI3466" i="2"/>
  <c r="AJ3466" i="2"/>
  <c r="AF3467" i="2"/>
  <c r="AK3467" i="2" s="1"/>
  <c r="AG3467" i="2"/>
  <c r="AL3467" i="2" s="1"/>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L3493" i="2" s="1"/>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s="1"/>
  <c r="AG3530" i="2"/>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L3569" i="2" s="1"/>
  <c r="AG3569" i="2"/>
  <c r="AH3569" i="2"/>
  <c r="AI3569" i="2"/>
  <c r="AJ3569" i="2"/>
  <c r="AF3570" i="2"/>
  <c r="AK3570" i="2" s="1"/>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G3612" i="2"/>
  <c r="AH3612" i="2"/>
  <c r="AI3612" i="2"/>
  <c r="AJ3612" i="2"/>
  <c r="AF3613" i="2"/>
  <c r="AK3613" i="2" s="1"/>
  <c r="AG3613" i="2"/>
  <c r="AH3613" i="2"/>
  <c r="AI3613" i="2"/>
  <c r="AL3613" i="2" s="1"/>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s="1"/>
  <c r="AG3630" i="2"/>
  <c r="AH3630" i="2"/>
  <c r="AI3630" i="2"/>
  <c r="AL3630" i="2" s="1"/>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L3672" i="2" s="1"/>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L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L3775" i="2" s="1"/>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L3825" i="2" s="1"/>
  <c r="AG3825" i="2"/>
  <c r="AH3825" i="2"/>
  <c r="AI3825" i="2"/>
  <c r="AJ3825" i="2"/>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c r="AG3926" i="2"/>
  <c r="AH3926" i="2"/>
  <c r="AI3926" i="2"/>
  <c r="AJ3926" i="2"/>
  <c r="AF3927" i="2"/>
  <c r="AK3927" i="2"/>
  <c r="AG3927" i="2"/>
  <c r="AH3927" i="2"/>
  <c r="AI3927" i="2"/>
  <c r="AJ3927" i="2"/>
  <c r="AF3928" i="2"/>
  <c r="AK3928" i="2" s="1"/>
  <c r="AG3928" i="2"/>
  <c r="AH3928" i="2"/>
  <c r="AI3928" i="2"/>
  <c r="AJ3928" i="2"/>
  <c r="AL3928" i="2" s="1"/>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s="1"/>
  <c r="AG3948" i="2"/>
  <c r="AH3948" i="2"/>
  <c r="AI3948" i="2"/>
  <c r="AJ3948" i="2"/>
  <c r="AL3948" i="2" s="1"/>
  <c r="AF3949" i="2"/>
  <c r="AK3949" i="2" s="1"/>
  <c r="AG3949" i="2"/>
  <c r="AH3949" i="2"/>
  <c r="AI3949" i="2"/>
  <c r="AJ3949" i="2"/>
  <c r="AF3950" i="2"/>
  <c r="AK3950" i="2" s="1"/>
  <c r="AG3950" i="2"/>
  <c r="AH3950" i="2"/>
  <c r="AI3950" i="2"/>
  <c r="AJ3950" i="2"/>
  <c r="AL3950" i="2" s="1"/>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s="1"/>
  <c r="AG3955" i="2"/>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s="1"/>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L4083" i="2" s="1"/>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s="1"/>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L4156" i="2" s="1"/>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L4170" i="2" s="1"/>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s="1"/>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H4257" i="2"/>
  <c r="AI4257" i="2"/>
  <c r="AJ4257" i="2"/>
  <c r="AL4257" i="2" s="1"/>
  <c r="AF4258" i="2"/>
  <c r="AK4258" i="2" s="1"/>
  <c r="AG4258" i="2"/>
  <c r="AH4258" i="2"/>
  <c r="AL4258" i="2" s="1"/>
  <c r="AI4258" i="2"/>
  <c r="AJ4258" i="2"/>
  <c r="AF4259" i="2"/>
  <c r="AK4259" i="2" s="1"/>
  <c r="AG4259" i="2"/>
  <c r="AH4259" i="2"/>
  <c r="AI4259" i="2"/>
  <c r="AL4259" i="2" s="1"/>
  <c r="AJ4259" i="2"/>
  <c r="AF4260" i="2"/>
  <c r="AK4260" i="2"/>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L4280" i="2" s="1"/>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s="1"/>
  <c r="AG4294" i="2"/>
  <c r="AH4294" i="2"/>
  <c r="AI4294" i="2"/>
  <c r="AJ4294" i="2"/>
  <c r="AF4295" i="2"/>
  <c r="AK4295" i="2"/>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s="1"/>
  <c r="AG4321" i="2"/>
  <c r="AH4321" i="2"/>
  <c r="AI4321" i="2"/>
  <c r="AJ4321" i="2"/>
  <c r="AF4322" i="2"/>
  <c r="AK4322" i="2" s="1"/>
  <c r="AG4322" i="2"/>
  <c r="AH4322" i="2"/>
  <c r="AL4322" i="2" s="1"/>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L4354" i="2" s="1"/>
  <c r="AG4354" i="2"/>
  <c r="AH4354" i="2"/>
  <c r="AI4354" i="2"/>
  <c r="AJ4354" i="2"/>
  <c r="AF4355" i="2"/>
  <c r="AK4355" i="2"/>
  <c r="AG4355" i="2"/>
  <c r="AH4355" i="2"/>
  <c r="AI4355" i="2"/>
  <c r="AJ4355" i="2"/>
  <c r="AF4356" i="2"/>
  <c r="AK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L4373" i="2" s="1"/>
  <c r="AG4373" i="2"/>
  <c r="AH4373" i="2"/>
  <c r="AI4373" i="2"/>
  <c r="AJ4373" i="2"/>
  <c r="AF4374" i="2"/>
  <c r="AK4374" i="2" s="1"/>
  <c r="AG4374" i="2"/>
  <c r="AH4374" i="2"/>
  <c r="AI4374" i="2"/>
  <c r="AJ4374" i="2"/>
  <c r="AF4375" i="2"/>
  <c r="AK4375" i="2" s="1"/>
  <c r="AG4375" i="2"/>
  <c r="AH4375" i="2"/>
  <c r="AI4375" i="2"/>
  <c r="AJ4375" i="2"/>
  <c r="AF4376" i="2"/>
  <c r="AK4376" i="2"/>
  <c r="AL4376" i="2" s="1"/>
  <c r="AG4376" i="2"/>
  <c r="AH4376" i="2"/>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c r="AG4381" i="2"/>
  <c r="AH4381" i="2"/>
  <c r="AI4381" i="2"/>
  <c r="AJ4381" i="2"/>
  <c r="AL4381" i="2" s="1"/>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s="1"/>
  <c r="AH4390" i="2"/>
  <c r="AI4390" i="2"/>
  <c r="AJ4390" i="2"/>
  <c r="AF4391" i="2"/>
  <c r="AK4391" i="2"/>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c r="AH4402" i="2"/>
  <c r="AI4402" i="2"/>
  <c r="AJ4402" i="2"/>
  <c r="AF4403" i="2"/>
  <c r="AK4403" i="2" s="1"/>
  <c r="AG4403" i="2"/>
  <c r="AH4403" i="2"/>
  <c r="AL4403" i="2" s="1"/>
  <c r="AI4403" i="2"/>
  <c r="AJ4403" i="2"/>
  <c r="AF4404" i="2"/>
  <c r="AK4404" i="2"/>
  <c r="AG4404" i="2"/>
  <c r="AH4404" i="2"/>
  <c r="AI4404" i="2"/>
  <c r="AJ4404" i="2"/>
  <c r="AF4405" i="2"/>
  <c r="AK4405" i="2"/>
  <c r="AG4405" i="2"/>
  <c r="AL4405" i="2"/>
  <c r="AH4405" i="2"/>
  <c r="AI4405" i="2"/>
  <c r="AJ4405" i="2"/>
  <c r="AF4406" i="2"/>
  <c r="AK4406" i="2" s="1"/>
  <c r="AG4406" i="2"/>
  <c r="AL4406" i="2" s="1"/>
  <c r="AH4406" i="2"/>
  <c r="AI4406" i="2"/>
  <c r="AJ4406" i="2"/>
  <c r="AF4407" i="2"/>
  <c r="AK4407" i="2"/>
  <c r="AG4407" i="2"/>
  <c r="AH4407" i="2"/>
  <c r="AI4407" i="2"/>
  <c r="AJ4407" i="2"/>
  <c r="AF4408" i="2"/>
  <c r="AK4408" i="2"/>
  <c r="AG4408" i="2"/>
  <c r="AH4408" i="2"/>
  <c r="AI4408" i="2"/>
  <c r="AJ4408" i="2"/>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L4423" i="2" s="1"/>
  <c r="AH4423" i="2"/>
  <c r="AI4423" i="2"/>
  <c r="AJ4423" i="2"/>
  <c r="AF4424" i="2"/>
  <c r="AK4424" i="2" s="1"/>
  <c r="AG4424" i="2"/>
  <c r="AH4424" i="2"/>
  <c r="AI4424" i="2"/>
  <c r="AL4424" i="2" s="1"/>
  <c r="AJ4424" i="2"/>
  <c r="AF4425" i="2"/>
  <c r="AK4425" i="2" s="1"/>
  <c r="AG4425" i="2"/>
  <c r="AH4425" i="2"/>
  <c r="AI4425" i="2"/>
  <c r="AJ4425" i="2"/>
  <c r="AF4426" i="2"/>
  <c r="AK4426" i="2"/>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c r="AG4431" i="2"/>
  <c r="AH4431" i="2"/>
  <c r="AI4431" i="2"/>
  <c r="AJ4431" i="2"/>
  <c r="AF4432" i="2"/>
  <c r="AK4432" i="2" s="1"/>
  <c r="AL4432" i="2" s="1"/>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c r="AG4461" i="2"/>
  <c r="AH4461" i="2"/>
  <c r="AI4461" i="2"/>
  <c r="AJ4461" i="2"/>
  <c r="AF4462" i="2"/>
  <c r="AK4462" i="2"/>
  <c r="AG4462" i="2"/>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c r="AG4469" i="2"/>
  <c r="AH4469" i="2"/>
  <c r="AI4469" i="2"/>
  <c r="AJ4469" i="2"/>
  <c r="AF4470" i="2"/>
  <c r="AK4470" i="2"/>
  <c r="AG4470" i="2"/>
  <c r="AH4470" i="2"/>
  <c r="AI4470" i="2"/>
  <c r="AJ4470" i="2"/>
  <c r="AF4471" i="2"/>
  <c r="AK4471" i="2"/>
  <c r="AG4471" i="2"/>
  <c r="AH4471" i="2"/>
  <c r="AL4471" i="2" s="1"/>
  <c r="AI4471" i="2"/>
  <c r="AJ4471" i="2"/>
  <c r="AF4472" i="2"/>
  <c r="AK4472" i="2"/>
  <c r="AG4472" i="2"/>
  <c r="AH4472" i="2"/>
  <c r="AI4472" i="2"/>
  <c r="AJ4472" i="2"/>
  <c r="AF4473" i="2"/>
  <c r="AK4473" i="2"/>
  <c r="AG4473" i="2"/>
  <c r="AH4473" i="2"/>
  <c r="AI4473" i="2"/>
  <c r="AJ4473" i="2"/>
  <c r="AL4473" i="2" s="1"/>
  <c r="AF4474" i="2"/>
  <c r="AK4474" i="2" s="1"/>
  <c r="AG4474" i="2"/>
  <c r="AH4474" i="2"/>
  <c r="AL4474" i="2" s="1"/>
  <c r="AI4474" i="2"/>
  <c r="AJ4474" i="2"/>
  <c r="AF4475" i="2"/>
  <c r="AK4475" i="2" s="1"/>
  <c r="AG4475" i="2"/>
  <c r="AH4475" i="2"/>
  <c r="AI4475" i="2"/>
  <c r="AJ4475" i="2"/>
  <c r="AF4476" i="2"/>
  <c r="AK4476" i="2"/>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L4502" i="2" s="1"/>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s="1"/>
  <c r="AG4506" i="2"/>
  <c r="AH4506" i="2"/>
  <c r="AI4506" i="2"/>
  <c r="AJ4506" i="2"/>
  <c r="AF4507" i="2"/>
  <c r="AK4507" i="2"/>
  <c r="AG4507" i="2"/>
  <c r="AL4507" i="2" s="1"/>
  <c r="AH4507" i="2"/>
  <c r="AI4507" i="2"/>
  <c r="AJ4507" i="2"/>
  <c r="AF4508" i="2"/>
  <c r="AK4508" i="2"/>
  <c r="AG4508" i="2"/>
  <c r="AH4508" i="2"/>
  <c r="AI4508" i="2"/>
  <c r="AJ4508" i="2"/>
  <c r="AL4508" i="2"/>
  <c r="AF4509" i="2"/>
  <c r="AK4509" i="2" s="1"/>
  <c r="AG4509" i="2"/>
  <c r="AH4509" i="2"/>
  <c r="AI4509" i="2"/>
  <c r="AJ4509" i="2"/>
  <c r="AF4510" i="2"/>
  <c r="AK4510" i="2"/>
  <c r="AG4510" i="2"/>
  <c r="AH4510" i="2"/>
  <c r="AI4510" i="2"/>
  <c r="AJ4510" i="2"/>
  <c r="AF4511" i="2"/>
  <c r="AK4511" i="2" s="1"/>
  <c r="AG4511" i="2"/>
  <c r="AH4511" i="2"/>
  <c r="AI4511" i="2"/>
  <c r="AJ4511" i="2"/>
  <c r="AF4512" i="2"/>
  <c r="AK4512" i="2" s="1"/>
  <c r="AG4512" i="2"/>
  <c r="AH4512" i="2"/>
  <c r="AI4512" i="2"/>
  <c r="AJ4512" i="2"/>
  <c r="AF4513" i="2"/>
  <c r="AK4513" i="2"/>
  <c r="AG4513" i="2"/>
  <c r="AH4513" i="2"/>
  <c r="AI4513" i="2"/>
  <c r="AJ4513" i="2"/>
  <c r="AF4514" i="2"/>
  <c r="AK4514" i="2"/>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J4523" i="2"/>
  <c r="AF4524" i="2"/>
  <c r="AK4524" i="2" s="1"/>
  <c r="AG4524" i="2"/>
  <c r="AL4524" i="2" s="1"/>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J4531" i="2"/>
  <c r="AF4532" i="2"/>
  <c r="AK4532" i="2"/>
  <c r="AG4532" i="2"/>
  <c r="AH4532" i="2"/>
  <c r="AI4532" i="2"/>
  <c r="AJ4532" i="2"/>
  <c r="AF4533" i="2"/>
  <c r="AK4533" i="2" s="1"/>
  <c r="AG4533" i="2"/>
  <c r="AH4533" i="2"/>
  <c r="AI4533" i="2"/>
  <c r="AJ4533" i="2"/>
  <c r="AF4534" i="2"/>
  <c r="AK4534" i="2"/>
  <c r="AG4534" i="2"/>
  <c r="AH4534" i="2"/>
  <c r="AI4534" i="2"/>
  <c r="AJ4534" i="2"/>
  <c r="AF4535" i="2"/>
  <c r="AK4535" i="2" s="1"/>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c r="AG4539" i="2"/>
  <c r="AL4539" i="2" s="1"/>
  <c r="AH4539" i="2"/>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F4546" i="2"/>
  <c r="AK4546" i="2"/>
  <c r="AG4546" i="2"/>
  <c r="AH4546" i="2"/>
  <c r="AI4546" i="2"/>
  <c r="AL4546" i="2" s="1"/>
  <c r="AJ4546" i="2"/>
  <c r="AF4547" i="2"/>
  <c r="AK4547" i="2"/>
  <c r="AG4547" i="2"/>
  <c r="AL4547" i="2" s="1"/>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s="1"/>
  <c r="AG4560" i="2"/>
  <c r="AH4560" i="2"/>
  <c r="AL4560" i="2" s="1"/>
  <c r="AI4560" i="2"/>
  <c r="AJ4560" i="2"/>
  <c r="AF4561" i="2"/>
  <c r="AK4561" i="2" s="1"/>
  <c r="AG4561" i="2"/>
  <c r="AH4561" i="2"/>
  <c r="AI4561" i="2"/>
  <c r="AL4561" i="2" s="1"/>
  <c r="AJ4561" i="2"/>
  <c r="AF4562" i="2"/>
  <c r="AK4562" i="2" s="1"/>
  <c r="AG4562" i="2"/>
  <c r="AH4562" i="2"/>
  <c r="AL4562" i="2" s="1"/>
  <c r="AI4562" i="2"/>
  <c r="AJ4562" i="2"/>
  <c r="AF4563" i="2"/>
  <c r="AK4563" i="2" s="1"/>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G4568" i="2"/>
  <c r="AH4568" i="2"/>
  <c r="AL4568" i="2" s="1"/>
  <c r="AI4568" i="2"/>
  <c r="AJ4568" i="2"/>
  <c r="AF4569" i="2"/>
  <c r="AK4569" i="2"/>
  <c r="AG4569" i="2"/>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L4580" i="2" s="1"/>
  <c r="AJ4580" i="2"/>
  <c r="AF4581" i="2"/>
  <c r="AK4581" i="2"/>
  <c r="AG4581" i="2"/>
  <c r="AH4581" i="2"/>
  <c r="AI4581" i="2"/>
  <c r="AJ4581" i="2"/>
  <c r="AF4582" i="2"/>
  <c r="AK4582" i="2" s="1"/>
  <c r="AG4582" i="2"/>
  <c r="AH4582" i="2"/>
  <c r="AI4582" i="2"/>
  <c r="AL4582" i="2" s="1"/>
  <c r="AJ4582" i="2"/>
  <c r="AF4583" i="2"/>
  <c r="AK4583" i="2"/>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L4593" i="2" s="1"/>
  <c r="AF4594" i="2"/>
  <c r="AK4594" i="2" s="1"/>
  <c r="AG4594" i="2"/>
  <c r="AH4594" i="2"/>
  <c r="AI4594" i="2"/>
  <c r="AJ4594" i="2"/>
  <c r="AF4595" i="2"/>
  <c r="AK4595" i="2" s="1"/>
  <c r="AG4595" i="2"/>
  <c r="AL4595" i="2" s="1"/>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L4603" i="2" s="1"/>
  <c r="AG4603" i="2"/>
  <c r="AH4603" i="2"/>
  <c r="AI4603" i="2"/>
  <c r="AJ4603" i="2"/>
  <c r="AF4604" i="2"/>
  <c r="AK4604" i="2" s="1"/>
  <c r="AG4604" i="2"/>
  <c r="AH4604" i="2"/>
  <c r="AI4604" i="2"/>
  <c r="AJ4604" i="2"/>
  <c r="AF4605" i="2"/>
  <c r="AK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L4613" i="2" s="1"/>
  <c r="AF4614" i="2"/>
  <c r="AK4614" i="2" s="1"/>
  <c r="AG4614" i="2"/>
  <c r="AH4614" i="2"/>
  <c r="AI4614" i="2"/>
  <c r="AJ4614" i="2"/>
  <c r="AF4615" i="2"/>
  <c r="AK4615" i="2"/>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c r="AG4620" i="2"/>
  <c r="AL4620" i="2" s="1"/>
  <c r="AH4620" i="2"/>
  <c r="AI4620" i="2"/>
  <c r="AJ4620" i="2"/>
  <c r="AF4621" i="2"/>
  <c r="AK4621" i="2" s="1"/>
  <c r="AG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s="1"/>
  <c r="AG4627" i="2"/>
  <c r="AL4627" i="2" s="1"/>
  <c r="AH4627" i="2"/>
  <c r="AI4627" i="2"/>
  <c r="AJ4627" i="2"/>
  <c r="AF4628" i="2"/>
  <c r="AK4628" i="2"/>
  <c r="AG4628" i="2"/>
  <c r="AL4628" i="2" s="1"/>
  <c r="AH4628" i="2"/>
  <c r="AI4628" i="2"/>
  <c r="AJ4628" i="2"/>
  <c r="AF4629" i="2"/>
  <c r="AK4629" i="2"/>
  <c r="AG4629" i="2"/>
  <c r="AH4629" i="2"/>
  <c r="AI4629" i="2"/>
  <c r="AJ4629" i="2"/>
  <c r="AF4630" i="2"/>
  <c r="AK4630" i="2" s="1"/>
  <c r="AG4630" i="2"/>
  <c r="AL4630" i="2" s="1"/>
  <c r="AH4630" i="2"/>
  <c r="AI4630" i="2"/>
  <c r="AJ4630" i="2"/>
  <c r="AF4631" i="2"/>
  <c r="AK4631" i="2" s="1"/>
  <c r="AL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L4640" i="2"/>
  <c r="AG4640" i="2"/>
  <c r="AH4640" i="2"/>
  <c r="AI4640" i="2"/>
  <c r="AJ4640" i="2"/>
  <c r="AF4641" i="2"/>
  <c r="AK4641" i="2" s="1"/>
  <c r="AG4641" i="2"/>
  <c r="AH4641" i="2"/>
  <c r="AI4641" i="2"/>
  <c r="AJ4641" i="2"/>
  <c r="AL4641" i="2" s="1"/>
  <c r="AF4642" i="2"/>
  <c r="AK4642" i="2" s="1"/>
  <c r="AG4642" i="2"/>
  <c r="AL4642" i="2" s="1"/>
  <c r="AH4642" i="2"/>
  <c r="AI4642" i="2"/>
  <c r="AJ4642" i="2"/>
  <c r="AF4643" i="2"/>
  <c r="AK4643" i="2" s="1"/>
  <c r="AG4643" i="2"/>
  <c r="AH4643" i="2"/>
  <c r="AI4643" i="2"/>
  <c r="AJ4643" i="2"/>
  <c r="AL4643" i="2" s="1"/>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H4647" i="2"/>
  <c r="AI4647" i="2"/>
  <c r="AJ4647" i="2"/>
  <c r="AF4648" i="2"/>
  <c r="AK4648" i="2"/>
  <c r="AG4648" i="2"/>
  <c r="AH4648" i="2"/>
  <c r="AI4648" i="2"/>
  <c r="AJ4648" i="2"/>
  <c r="AL4648" i="2" s="1"/>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L4652" i="2" s="1"/>
  <c r="AI4652" i="2"/>
  <c r="AJ4652" i="2"/>
  <c r="AF4653" i="2"/>
  <c r="AK4653" i="2"/>
  <c r="AG4653" i="2"/>
  <c r="AH4653" i="2"/>
  <c r="AL4653" i="2" s="1"/>
  <c r="AI4653" i="2"/>
  <c r="AJ4653" i="2"/>
  <c r="AF4654" i="2"/>
  <c r="AK4654" i="2"/>
  <c r="AG4654" i="2"/>
  <c r="AH4654" i="2"/>
  <c r="AI4654" i="2"/>
  <c r="AJ4654" i="2"/>
  <c r="AF4655" i="2"/>
  <c r="AK4655" i="2" s="1"/>
  <c r="AG4655" i="2"/>
  <c r="AH4655" i="2"/>
  <c r="AI4655" i="2"/>
  <c r="AJ4655" i="2"/>
  <c r="AF4656" i="2"/>
  <c r="AK4656" i="2" s="1"/>
  <c r="AG4656" i="2"/>
  <c r="AH4656" i="2"/>
  <c r="AI4656" i="2"/>
  <c r="AJ4656" i="2"/>
  <c r="AL4656" i="2" s="1"/>
  <c r="AF4657" i="2"/>
  <c r="AK4657" i="2"/>
  <c r="AG4657" i="2"/>
  <c r="AL4657" i="2" s="1"/>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s="1"/>
  <c r="AG4661" i="2"/>
  <c r="AH4661" i="2"/>
  <c r="AL4661" i="2" s="1"/>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c r="AG4667" i="2"/>
  <c r="AH4667" i="2"/>
  <c r="AI4667" i="2"/>
  <c r="AL4667" i="2" s="1"/>
  <c r="AJ4667" i="2"/>
  <c r="AF4668" i="2"/>
  <c r="AK4668" i="2"/>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L4674" i="2"/>
  <c r="AH4674" i="2"/>
  <c r="AI4674" i="2"/>
  <c r="AJ4674" i="2"/>
  <c r="AF4675" i="2"/>
  <c r="AK4675" i="2"/>
  <c r="AG4675" i="2"/>
  <c r="AH4675" i="2"/>
  <c r="AI4675" i="2"/>
  <c r="AJ4675" i="2"/>
  <c r="AF4676" i="2"/>
  <c r="AK4676" i="2" s="1"/>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s="1"/>
  <c r="AG4682" i="2"/>
  <c r="AH4682" i="2"/>
  <c r="AI4682" i="2"/>
  <c r="AJ4682" i="2"/>
  <c r="AF4683" i="2"/>
  <c r="AK4683" i="2" s="1"/>
  <c r="AG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s="1"/>
  <c r="AG4692" i="2"/>
  <c r="AH4692" i="2"/>
  <c r="AI4692" i="2"/>
  <c r="AL4692" i="2" s="1"/>
  <c r="AJ4692" i="2"/>
  <c r="AF4693" i="2"/>
  <c r="AG4693" i="2"/>
  <c r="AH4693" i="2"/>
  <c r="AI4693" i="2"/>
  <c r="AJ4693" i="2"/>
  <c r="AK4693" i="2"/>
  <c r="AF4694" i="2"/>
  <c r="AK4694" i="2"/>
  <c r="AG4694" i="2"/>
  <c r="AH4694" i="2"/>
  <c r="AL4694" i="2" s="1"/>
  <c r="AI4694" i="2"/>
  <c r="AJ4694" i="2"/>
  <c r="AF4695" i="2"/>
  <c r="AK4695" i="2"/>
  <c r="AG4695" i="2"/>
  <c r="AH4695" i="2"/>
  <c r="AI4695" i="2"/>
  <c r="AJ4695" i="2"/>
  <c r="AF4696" i="2"/>
  <c r="AK4696" i="2"/>
  <c r="AG4696" i="2"/>
  <c r="AH4696" i="2"/>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s="1"/>
  <c r="AG4700" i="2"/>
  <c r="AL4700" i="2" s="1"/>
  <c r="AH4700" i="2"/>
  <c r="AI4700" i="2"/>
  <c r="AJ4700" i="2"/>
  <c r="AF4701" i="2"/>
  <c r="AK4701" i="2" s="1"/>
  <c r="AG4701" i="2"/>
  <c r="AH4701" i="2"/>
  <c r="AI4701" i="2"/>
  <c r="AJ4701" i="2"/>
  <c r="AF4702" i="2"/>
  <c r="AK4702" i="2"/>
  <c r="AG4702" i="2"/>
  <c r="AL4702" i="2" s="1"/>
  <c r="AH4702" i="2"/>
  <c r="AI4702" i="2"/>
  <c r="AJ4702" i="2"/>
  <c r="AF4703" i="2"/>
  <c r="AK4703" i="2" s="1"/>
  <c r="AG4703" i="2"/>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L4708" i="2" s="1"/>
  <c r="AH4708" i="2"/>
  <c r="AI4708" i="2"/>
  <c r="AJ4708" i="2"/>
  <c r="AF4709" i="2"/>
  <c r="AK4709" i="2" s="1"/>
  <c r="AG4709" i="2"/>
  <c r="AL4709" i="2"/>
  <c r="AH4709" i="2"/>
  <c r="AI4709" i="2"/>
  <c r="AJ4709" i="2"/>
  <c r="AF4710" i="2"/>
  <c r="AK4710" i="2"/>
  <c r="AG4710" i="2"/>
  <c r="AL4710" i="2"/>
  <c r="AH4710" i="2"/>
  <c r="AI4710" i="2"/>
  <c r="AJ4710" i="2"/>
  <c r="AF4711" i="2"/>
  <c r="AK4711" i="2" s="1"/>
  <c r="AG4711" i="2"/>
  <c r="AH4711" i="2"/>
  <c r="AI4711" i="2"/>
  <c r="AJ4711" i="2"/>
  <c r="AF4712" i="2"/>
  <c r="AK4712" i="2" s="1"/>
  <c r="AL4712" i="2" s="1"/>
  <c r="AG4712" i="2"/>
  <c r="AH4712" i="2"/>
  <c r="AI4712" i="2"/>
  <c r="AJ4712" i="2"/>
  <c r="AF4713" i="2"/>
  <c r="AK4713" i="2" s="1"/>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F4726" i="2"/>
  <c r="AK4726" i="2" s="1"/>
  <c r="AG4726" i="2"/>
  <c r="AH4726" i="2"/>
  <c r="AL4726" i="2" s="1"/>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c r="AG4730" i="2"/>
  <c r="AH4730" i="2"/>
  <c r="AI4730" i="2"/>
  <c r="AJ4730" i="2"/>
  <c r="AF4731" i="2"/>
  <c r="AK4731" i="2" s="1"/>
  <c r="AL4731" i="2" s="1"/>
  <c r="AG4731" i="2"/>
  <c r="AH4731" i="2"/>
  <c r="AI4731" i="2"/>
  <c r="AJ4731" i="2"/>
  <c r="AF4732" i="2"/>
  <c r="AK4732" i="2" s="1"/>
  <c r="AG4732" i="2"/>
  <c r="AH4732" i="2"/>
  <c r="AI4732" i="2"/>
  <c r="AJ4732" i="2"/>
  <c r="AF4733" i="2"/>
  <c r="AK4733" i="2" s="1"/>
  <c r="AL4733" i="2" s="1"/>
  <c r="AG4733" i="2"/>
  <c r="AH4733" i="2"/>
  <c r="AI4733" i="2"/>
  <c r="AJ4733" i="2"/>
  <c r="AF4734" i="2"/>
  <c r="AK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L4739" i="2"/>
  <c r="AH4739" i="2"/>
  <c r="AI4739" i="2"/>
  <c r="AJ4739" i="2"/>
  <c r="AF4740" i="2"/>
  <c r="AK4740" i="2"/>
  <c r="AL4740" i="2" s="1"/>
  <c r="AG4740" i="2"/>
  <c r="AH4740" i="2"/>
  <c r="AI4740" i="2"/>
  <c r="AJ4740" i="2"/>
  <c r="AF4741" i="2"/>
  <c r="AK4741" i="2"/>
  <c r="AG4741" i="2"/>
  <c r="AH4741" i="2"/>
  <c r="AI4741" i="2"/>
  <c r="AJ4741" i="2"/>
  <c r="AF4742" i="2"/>
  <c r="AK4742" i="2"/>
  <c r="AG4742" i="2"/>
  <c r="AL4742" i="2" s="1"/>
  <c r="AH4742" i="2"/>
  <c r="AI4742" i="2"/>
  <c r="AJ4742" i="2"/>
  <c r="AF4743" i="2"/>
  <c r="AK4743" i="2" s="1"/>
  <c r="AG4743" i="2"/>
  <c r="AH4743" i="2"/>
  <c r="AI4743" i="2"/>
  <c r="AJ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s="1"/>
  <c r="AG4750" i="2"/>
  <c r="AH4750" i="2"/>
  <c r="AI4750" i="2"/>
  <c r="AL4750" i="2" s="1"/>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c r="AG4756" i="2"/>
  <c r="AH4756" i="2"/>
  <c r="AI4756" i="2"/>
  <c r="AJ4756" i="2"/>
  <c r="AF4757" i="2"/>
  <c r="AK4757" i="2" s="1"/>
  <c r="AG4757" i="2"/>
  <c r="AH4757" i="2"/>
  <c r="AI4757" i="2"/>
  <c r="AJ4757" i="2"/>
  <c r="AL4757" i="2" s="1"/>
  <c r="AF4758" i="2"/>
  <c r="AK4758" i="2" s="1"/>
  <c r="AG4758" i="2"/>
  <c r="AH4758" i="2"/>
  <c r="AI4758" i="2"/>
  <c r="AJ4758" i="2"/>
  <c r="AF4759" i="2"/>
  <c r="AK4759" i="2"/>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H4768" i="2"/>
  <c r="AL4768" i="2" s="1"/>
  <c r="AI4768" i="2"/>
  <c r="AJ4768" i="2"/>
  <c r="AF4769" i="2"/>
  <c r="AK4769" i="2" s="1"/>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s="1"/>
  <c r="AG4775" i="2"/>
  <c r="AH4775" i="2"/>
  <c r="AI4775" i="2"/>
  <c r="AJ4775" i="2"/>
  <c r="AL4775" i="2" s="1"/>
  <c r="AF4776" i="2"/>
  <c r="AK4776" i="2" s="1"/>
  <c r="AL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G4781" i="2"/>
  <c r="AH4781" i="2"/>
  <c r="AL4781" i="2"/>
  <c r="AI4781" i="2"/>
  <c r="AJ4781" i="2"/>
  <c r="AF4782" i="2"/>
  <c r="AK4782" i="2" s="1"/>
  <c r="AG4782" i="2"/>
  <c r="AH4782" i="2"/>
  <c r="AL4782" i="2" s="1"/>
  <c r="AI4782" i="2"/>
  <c r="AJ4782" i="2"/>
  <c r="AF4783" i="2"/>
  <c r="AK4783" i="2"/>
  <c r="AG4783" i="2"/>
  <c r="AL4783" i="2" s="1"/>
  <c r="AH4783" i="2"/>
  <c r="AI4783" i="2"/>
  <c r="AJ4783" i="2"/>
  <c r="AF4784" i="2"/>
  <c r="AK4784" i="2" s="1"/>
  <c r="AG4784" i="2"/>
  <c r="AH4784" i="2"/>
  <c r="AI4784" i="2"/>
  <c r="AJ4784" i="2"/>
  <c r="AF4785" i="2"/>
  <c r="AK4785" i="2" s="1"/>
  <c r="AG4785" i="2"/>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s="1"/>
  <c r="AG4791" i="2"/>
  <c r="AH4791" i="2"/>
  <c r="AI4791" i="2"/>
  <c r="AJ4791" i="2"/>
  <c r="AF4792" i="2"/>
  <c r="AK4792" i="2"/>
  <c r="AL4792" i="2"/>
  <c r="AG4792" i="2"/>
  <c r="AH4792" i="2"/>
  <c r="AI4792" i="2"/>
  <c r="AJ4792" i="2"/>
  <c r="AF4793" i="2"/>
  <c r="AK4793" i="2" s="1"/>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s="1"/>
  <c r="AG4797" i="2"/>
  <c r="AH4797" i="2"/>
  <c r="AI4797" i="2"/>
  <c r="AJ4797" i="2"/>
  <c r="AL4797" i="2" s="1"/>
  <c r="AF4798" i="2"/>
  <c r="AK4798" i="2"/>
  <c r="AG4798" i="2"/>
  <c r="AH4798" i="2"/>
  <c r="AI4798" i="2"/>
  <c r="AJ4798" i="2"/>
  <c r="AF4799" i="2"/>
  <c r="AK4799" i="2" s="1"/>
  <c r="AG4799" i="2"/>
  <c r="AH4799" i="2"/>
  <c r="AI4799" i="2"/>
  <c r="AJ4799" i="2"/>
  <c r="AF4800" i="2"/>
  <c r="AK4800" i="2"/>
  <c r="AG4800" i="2"/>
  <c r="AH4800" i="2"/>
  <c r="AI4800" i="2"/>
  <c r="AJ4800" i="2"/>
  <c r="AL4800" i="2"/>
  <c r="AF4801" i="2"/>
  <c r="AK4801" i="2" s="1"/>
  <c r="AL4801" i="2" s="1"/>
  <c r="AG4801" i="2"/>
  <c r="AH4801" i="2"/>
  <c r="AI4801" i="2"/>
  <c r="AJ4801" i="2"/>
  <c r="AF4802" i="2"/>
  <c r="AK4802" i="2" s="1"/>
  <c r="AL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s="1"/>
  <c r="AG4806" i="2"/>
  <c r="AH4806" i="2"/>
  <c r="AI4806" i="2"/>
  <c r="AJ4806" i="2"/>
  <c r="AF4807" i="2"/>
  <c r="AK4807" i="2"/>
  <c r="AG4807" i="2"/>
  <c r="AH4807" i="2"/>
  <c r="AI4807" i="2"/>
  <c r="AJ4807" i="2"/>
  <c r="AF4808" i="2"/>
  <c r="AK4808" i="2" s="1"/>
  <c r="AG4808" i="2"/>
  <c r="AH4808" i="2"/>
  <c r="AI4808" i="2"/>
  <c r="AJ4808" i="2"/>
  <c r="AF4809" i="2"/>
  <c r="AK4809" i="2" s="1"/>
  <c r="AG4809" i="2"/>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c r="AG4818" i="2"/>
  <c r="AH4818" i="2"/>
  <c r="AI4818" i="2"/>
  <c r="AJ4818" i="2"/>
  <c r="AF4819" i="2"/>
  <c r="AK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J4823" i="2"/>
  <c r="AF4824" i="2"/>
  <c r="AK4824" i="2" s="1"/>
  <c r="AL4824" i="2" s="1"/>
  <c r="AG4824" i="2"/>
  <c r="AH4824" i="2"/>
  <c r="AI4824" i="2"/>
  <c r="AJ4824" i="2"/>
  <c r="AF4825" i="2"/>
  <c r="AK4825" i="2" s="1"/>
  <c r="AG4825" i="2"/>
  <c r="AH4825" i="2"/>
  <c r="AI4825" i="2"/>
  <c r="AJ4825" i="2"/>
  <c r="AF4826" i="2"/>
  <c r="AK4826" i="2" s="1"/>
  <c r="AG4826" i="2"/>
  <c r="AH4826" i="2"/>
  <c r="AI4826" i="2"/>
  <c r="AL4826" i="2" s="1"/>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s="1"/>
  <c r="AG4833" i="2"/>
  <c r="AH4833" i="2"/>
  <c r="AI4833" i="2"/>
  <c r="AL4833" i="2" s="1"/>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s="1"/>
  <c r="AH4838" i="2"/>
  <c r="AI4838" i="2"/>
  <c r="AJ4838" i="2"/>
  <c r="AF4839" i="2"/>
  <c r="AK4839" i="2" s="1"/>
  <c r="AG4839" i="2"/>
  <c r="AL4839" i="2" s="1"/>
  <c r="AH4839" i="2"/>
  <c r="AI4839" i="2"/>
  <c r="AJ4839" i="2"/>
  <c r="AF4840" i="2"/>
  <c r="AK4840" i="2" s="1"/>
  <c r="AG4840" i="2"/>
  <c r="AH4840" i="2"/>
  <c r="AI4840" i="2"/>
  <c r="AJ4840" i="2"/>
  <c r="AF4841" i="2"/>
  <c r="AK4841" i="2"/>
  <c r="AG4841" i="2"/>
  <c r="AH4841" i="2"/>
  <c r="AI4841" i="2"/>
  <c r="AJ4841" i="2"/>
  <c r="AF4842" i="2"/>
  <c r="AK4842" i="2"/>
  <c r="AG4842" i="2"/>
  <c r="AL4842" i="2" s="1"/>
  <c r="AH4842" i="2"/>
  <c r="AI4842" i="2"/>
  <c r="AJ4842" i="2"/>
  <c r="AF4843" i="2"/>
  <c r="AK4843" i="2" s="1"/>
  <c r="AG4843" i="2"/>
  <c r="AH4843" i="2"/>
  <c r="AI4843" i="2"/>
  <c r="AJ4843" i="2"/>
  <c r="AF4844" i="2"/>
  <c r="AK4844" i="2" s="1"/>
  <c r="AG4844" i="2"/>
  <c r="AH4844" i="2"/>
  <c r="AI4844" i="2"/>
  <c r="AJ4844" i="2"/>
  <c r="AF4845" i="2"/>
  <c r="AK4845" i="2" s="1"/>
  <c r="AG4845" i="2"/>
  <c r="AL4845" i="2"/>
  <c r="AH4845" i="2"/>
  <c r="AI4845" i="2"/>
  <c r="AJ4845" i="2"/>
  <c r="AF4846" i="2"/>
  <c r="AK4846" i="2"/>
  <c r="AG4846" i="2"/>
  <c r="AL4846" i="2" s="1"/>
  <c r="AH4846" i="2"/>
  <c r="AI4846" i="2"/>
  <c r="AJ4846" i="2"/>
  <c r="AF4847" i="2"/>
  <c r="AK4847" i="2"/>
  <c r="AG4847" i="2"/>
  <c r="AH4847" i="2"/>
  <c r="AI4847" i="2"/>
  <c r="AJ4847" i="2"/>
  <c r="AF4848" i="2"/>
  <c r="AK4848" i="2"/>
  <c r="AG4848" i="2"/>
  <c r="AH4848" i="2"/>
  <c r="AI4848" i="2"/>
  <c r="AJ4848" i="2"/>
  <c r="AF4849" i="2"/>
  <c r="AK4849" i="2" s="1"/>
  <c r="AL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s="1"/>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G4857" i="2"/>
  <c r="AL4857" i="2" s="1"/>
  <c r="AH4857" i="2"/>
  <c r="AI4857" i="2"/>
  <c r="AJ4857" i="2"/>
  <c r="AF4858" i="2"/>
  <c r="AK4858" i="2" s="1"/>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L4865" i="2" s="1"/>
  <c r="AI4865" i="2"/>
  <c r="AJ4865" i="2"/>
  <c r="AF4866" i="2"/>
  <c r="AK4866" i="2"/>
  <c r="AG4866" i="2"/>
  <c r="AL4866" i="2" s="1"/>
  <c r="AH4866" i="2"/>
  <c r="AI4866" i="2"/>
  <c r="AJ4866" i="2"/>
  <c r="AF4867" i="2"/>
  <c r="AK4867" i="2"/>
  <c r="AG4867" i="2"/>
  <c r="AH4867" i="2"/>
  <c r="AI4867" i="2"/>
  <c r="AJ4867" i="2"/>
  <c r="AL4867" i="2" s="1"/>
  <c r="AF4868" i="2"/>
  <c r="AK4868" i="2" s="1"/>
  <c r="AG4868" i="2"/>
  <c r="AH4868" i="2"/>
  <c r="AL4868" i="2" s="1"/>
  <c r="AI4868" i="2"/>
  <c r="AJ4868" i="2"/>
  <c r="AF4869" i="2"/>
  <c r="AK4869" i="2" s="1"/>
  <c r="AG4869" i="2"/>
  <c r="AL4869" i="2" s="1"/>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J4879" i="2"/>
  <c r="AF4880" i="2"/>
  <c r="AK4880" i="2" s="1"/>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J4887" i="2"/>
  <c r="AL4887" i="2" s="1"/>
  <c r="AF4888" i="2"/>
  <c r="AK4888" i="2" s="1"/>
  <c r="AG4888" i="2"/>
  <c r="AH4888" i="2"/>
  <c r="AL4888" i="2" s="1"/>
  <c r="AI4888" i="2"/>
  <c r="AJ4888" i="2"/>
  <c r="AF4889" i="2"/>
  <c r="AK4889" i="2" s="1"/>
  <c r="AG4889" i="2"/>
  <c r="AH4889" i="2"/>
  <c r="AI4889" i="2"/>
  <c r="AJ4889" i="2"/>
  <c r="AF4890" i="2"/>
  <c r="AK4890" i="2"/>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L4899" i="2" s="1"/>
  <c r="AI4899" i="2"/>
  <c r="AJ4899" i="2"/>
  <c r="AF4900" i="2"/>
  <c r="AK4900" i="2" s="1"/>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F4905" i="2"/>
  <c r="AK4905" i="2"/>
  <c r="AL4905" i="2" s="1"/>
  <c r="AG4905" i="2"/>
  <c r="AH4905" i="2"/>
  <c r="AI4905" i="2"/>
  <c r="AJ4905" i="2"/>
  <c r="AF4906" i="2"/>
  <c r="AK4906" i="2" s="1"/>
  <c r="AG4906" i="2"/>
  <c r="AH4906" i="2"/>
  <c r="AI4906" i="2"/>
  <c r="AJ4906" i="2"/>
  <c r="AF4907" i="2"/>
  <c r="AK4907" i="2"/>
  <c r="AG4907" i="2"/>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s="1"/>
  <c r="AL4919" i="2" s="1"/>
  <c r="AG4919" i="2"/>
  <c r="AH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H4924" i="2"/>
  <c r="AL4924" i="2" s="1"/>
  <c r="AI4924" i="2"/>
  <c r="AJ4924" i="2"/>
  <c r="AF4925" i="2"/>
  <c r="AK4925" i="2"/>
  <c r="AG4925" i="2"/>
  <c r="AH4925" i="2"/>
  <c r="AI4925" i="2"/>
  <c r="AJ4925" i="2"/>
  <c r="AF4926" i="2"/>
  <c r="AK4926" i="2" s="1"/>
  <c r="AG4926" i="2"/>
  <c r="AH4926" i="2"/>
  <c r="AI4926" i="2"/>
  <c r="AJ4926" i="2"/>
  <c r="AF4927" i="2"/>
  <c r="AK4927" i="2"/>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s="1"/>
  <c r="AG4931" i="2"/>
  <c r="AH4931" i="2"/>
  <c r="AL4931" i="2" s="1"/>
  <c r="AI4931" i="2"/>
  <c r="AJ4931" i="2"/>
  <c r="AF4932" i="2"/>
  <c r="AK4932" i="2"/>
  <c r="AG4932" i="2"/>
  <c r="AL4932" i="2" s="1"/>
  <c r="AH4932" i="2"/>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J4942" i="2"/>
  <c r="AF4943" i="2"/>
  <c r="AK4943" i="2" s="1"/>
  <c r="AG4943" i="2"/>
  <c r="AH4943" i="2"/>
  <c r="AI4943" i="2"/>
  <c r="AJ4943" i="2"/>
  <c r="AF4944" i="2"/>
  <c r="AK4944" i="2" s="1"/>
  <c r="AG4944" i="2"/>
  <c r="AH4944" i="2"/>
  <c r="AI4944" i="2"/>
  <c r="AJ4944" i="2"/>
  <c r="AF4945" i="2"/>
  <c r="AK4945" i="2" s="1"/>
  <c r="AG4945" i="2"/>
  <c r="AH4945" i="2"/>
  <c r="AI4945" i="2"/>
  <c r="AJ4945" i="2"/>
  <c r="AF4946" i="2"/>
  <c r="AK4946" i="2" s="1"/>
  <c r="AL4946" i="2" s="1"/>
  <c r="AG4946" i="2"/>
  <c r="AH4946" i="2"/>
  <c r="AI4946" i="2"/>
  <c r="AJ4946" i="2"/>
  <c r="AF4947" i="2"/>
  <c r="AK4947" i="2" s="1"/>
  <c r="AG4947" i="2"/>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G4955" i="2"/>
  <c r="AH4955" i="2"/>
  <c r="AI4955" i="2"/>
  <c r="AJ4955" i="2"/>
  <c r="AL4955" i="2" s="1"/>
  <c r="AF4956" i="2"/>
  <c r="AK4956" i="2"/>
  <c r="AG4956" i="2"/>
  <c r="AH4956" i="2"/>
  <c r="AI4956" i="2"/>
  <c r="AJ4956" i="2"/>
  <c r="AF4957" i="2"/>
  <c r="AK4957" i="2" s="1"/>
  <c r="AG4957" i="2"/>
  <c r="AH4957" i="2"/>
  <c r="AI4957" i="2"/>
  <c r="AJ4957" i="2"/>
  <c r="AF4958" i="2"/>
  <c r="AK4958" i="2" s="1"/>
  <c r="AL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L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G4969" i="2"/>
  <c r="AH4969" i="2"/>
  <c r="AI4969" i="2"/>
  <c r="AJ4969" i="2"/>
  <c r="AF4970" i="2"/>
  <c r="AK4970" i="2" s="1"/>
  <c r="AG4970" i="2"/>
  <c r="AL4970" i="2" s="1"/>
  <c r="AH4970" i="2"/>
  <c r="AI4970" i="2"/>
  <c r="AJ4970" i="2"/>
  <c r="AF4971" i="2"/>
  <c r="AK4971" i="2" s="1"/>
  <c r="AG4971" i="2"/>
  <c r="AH4971" i="2"/>
  <c r="AI4971" i="2"/>
  <c r="AJ4971" i="2"/>
  <c r="AF4972" i="2"/>
  <c r="AK4972" i="2" s="1"/>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L4976" i="2" s="1"/>
  <c r="AG4976" i="2"/>
  <c r="AH4976" i="2"/>
  <c r="AI4976" i="2"/>
  <c r="AJ4976" i="2"/>
  <c r="AF4977" i="2"/>
  <c r="AK4977" i="2" s="1"/>
  <c r="AG4977" i="2"/>
  <c r="AH4977" i="2"/>
  <c r="AI4977" i="2"/>
  <c r="AJ4977" i="2"/>
  <c r="AF4978" i="2"/>
  <c r="AK4978" i="2" s="1"/>
  <c r="AL4978" i="2" s="1"/>
  <c r="AG4978" i="2"/>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J4990" i="2"/>
  <c r="AF4991" i="2"/>
  <c r="AK4991" i="2" s="1"/>
  <c r="AG4991" i="2"/>
  <c r="AH4991" i="2"/>
  <c r="AI4991" i="2"/>
  <c r="AL4991" i="2" s="1"/>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s="1"/>
  <c r="AG4995" i="2"/>
  <c r="AL4995" i="2" s="1"/>
  <c r="AH4995" i="2"/>
  <c r="AI4995" i="2"/>
  <c r="AJ4995" i="2"/>
  <c r="AF4996" i="2"/>
  <c r="AK4996" i="2"/>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9" i="2"/>
  <c r="AL5023" i="2"/>
  <c r="AL5027" i="2"/>
  <c r="AL5031" i="2"/>
  <c r="AL5035" i="2"/>
  <c r="AL5043" i="2"/>
  <c r="AL5047" i="2"/>
  <c r="AL5051" i="2"/>
  <c r="AL5055" i="2"/>
  <c r="AL5063" i="2"/>
  <c r="AL5067" i="2"/>
  <c r="AL5071" i="2"/>
  <c r="AL5075" i="2"/>
  <c r="AL5079" i="2"/>
  <c r="AL5083" i="2"/>
  <c r="AL5091"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8" i="2"/>
  <c r="AL5092" i="2"/>
  <c r="AL5096" i="2"/>
  <c r="AL5100" i="2"/>
  <c r="AL5104" i="2"/>
  <c r="AL5112" i="2"/>
  <c r="AL5116" i="2"/>
  <c r="AL5120" i="2"/>
  <c r="AL5128" i="2"/>
  <c r="AL5135" i="2"/>
  <c r="AL5143" i="2"/>
  <c r="AL5151" i="2"/>
  <c r="AL5159" i="2"/>
  <c r="AL5167" i="2"/>
  <c r="AL5175" i="2"/>
  <c r="AL5183" i="2"/>
  <c r="AL5191" i="2"/>
  <c r="AL5199" i="2"/>
  <c r="AL5211" i="2"/>
  <c r="AL5148" i="2"/>
  <c r="AL5156" i="2"/>
  <c r="AL5172" i="2"/>
  <c r="AL5180" i="2"/>
  <c r="AL5196" i="2"/>
  <c r="AL5203" i="2"/>
  <c r="AL5139" i="2"/>
  <c r="AL5147" i="2"/>
  <c r="AL5155" i="2"/>
  <c r="AL5163" i="2"/>
  <c r="AL5171" i="2"/>
  <c r="AL5179" i="2"/>
  <c r="AL5187" i="2"/>
  <c r="AL5195" i="2"/>
  <c r="AL5214" i="2"/>
  <c r="AL5138" i="2"/>
  <c r="AL5146" i="2"/>
  <c r="AL5162" i="2"/>
  <c r="AL5170" i="2"/>
  <c r="AL5178"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23" i="2"/>
  <c r="AL1912" i="2"/>
  <c r="AL1896" i="2"/>
  <c r="AL1864" i="2"/>
  <c r="AL1848"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87" i="2"/>
  <c r="AL1877" i="2"/>
  <c r="AL1871" i="2"/>
  <c r="AL1861" i="2"/>
  <c r="AL185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46" i="2"/>
  <c r="AL1938" i="2"/>
  <c r="AL1922" i="2"/>
  <c r="AL1914" i="2"/>
  <c r="AL1898" i="2"/>
  <c r="AL1890" i="2"/>
  <c r="AL1882" i="2"/>
  <c r="AL1874" i="2"/>
  <c r="AL1866" i="2"/>
  <c r="AL1858" i="2"/>
  <c r="AL1850" i="2"/>
  <c r="AL1842" i="2"/>
  <c r="AL1834" i="2"/>
  <c r="AL1826" i="2"/>
  <c r="AL1810" i="2"/>
  <c r="AL1802" i="2"/>
  <c r="AL1794" i="2"/>
  <c r="AL1778" i="2"/>
  <c r="AL1762" i="2"/>
  <c r="AL1726"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68" i="2"/>
  <c r="AL1860" i="2"/>
  <c r="AL1844" i="2"/>
  <c r="AL1836" i="2"/>
  <c r="AL1820" i="2"/>
  <c r="AL1812" i="2"/>
  <c r="AL1804" i="2"/>
  <c r="AL1796" i="2"/>
  <c r="AL1788" i="2"/>
  <c r="AL1780" i="2"/>
  <c r="AL1772" i="2"/>
  <c r="AL1764" i="2"/>
  <c r="AL1756" i="2"/>
  <c r="AL1621" i="2"/>
  <c r="AL1594" i="2"/>
  <c r="AL1583" i="2"/>
  <c r="AL1573" i="2"/>
  <c r="AL1562" i="2"/>
  <c r="AL1552" i="2"/>
  <c r="AL1536" i="2"/>
  <c r="AL1532" i="2"/>
  <c r="AL1506" i="2"/>
  <c r="AL1494" i="2"/>
  <c r="AL1489" i="2"/>
  <c r="AL1323" i="2"/>
  <c r="AL1195" i="2"/>
  <c r="AL1067" i="2"/>
  <c r="AL939" i="2"/>
  <c r="AL1910" i="2"/>
  <c r="AL1902" i="2"/>
  <c r="AL1894" i="2"/>
  <c r="AL1886" i="2"/>
  <c r="AL1870" i="2"/>
  <c r="AL1862" i="2"/>
  <c r="AL1846" i="2"/>
  <c r="AL1838" i="2"/>
  <c r="AL1822" i="2"/>
  <c r="AL1814" i="2"/>
  <c r="AL1806" i="2"/>
  <c r="AL1798" i="2"/>
  <c r="AL1790" i="2"/>
  <c r="AL1774" i="2"/>
  <c r="AL1750" i="2"/>
  <c r="AL1702"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74" i="2"/>
  <c r="AL1567" i="2"/>
  <c r="AL1560" i="2"/>
  <c r="AL1554" i="2"/>
  <c r="AL1548" i="2"/>
  <c r="AL1535"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38" i="2"/>
  <c r="AL1714" i="2"/>
  <c r="AL1690" i="2"/>
  <c r="AL1666"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54" i="2"/>
  <c r="AL1038" i="2"/>
  <c r="AL1006" i="2"/>
  <c r="AL990" i="2"/>
  <c r="AL974" i="2"/>
  <c r="AL958" i="2"/>
  <c r="AL926" i="2"/>
  <c r="AL910" i="2"/>
  <c r="AL894" i="2"/>
  <c r="AL878" i="2"/>
  <c r="AL860" i="2"/>
  <c r="AL1625"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43" i="2"/>
  <c r="AL737"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51" i="2"/>
  <c r="AL843" i="2"/>
  <c r="AL835" i="2"/>
  <c r="AL827" i="2"/>
  <c r="AL819" i="2"/>
  <c r="AL811" i="2"/>
  <c r="AL803" i="2"/>
  <c r="AL795" i="2"/>
  <c r="AL787" i="2"/>
  <c r="AL779" i="2"/>
  <c r="AL771" i="2"/>
  <c r="AL763"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499" i="2"/>
  <c r="AL491" i="2"/>
  <c r="AL483" i="2"/>
  <c r="AL475" i="2"/>
  <c r="AL467" i="2"/>
  <c r="AL459" i="2"/>
  <c r="AL451" i="2"/>
  <c r="AL443" i="2"/>
  <c r="AL729"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90" i="2"/>
  <c r="AL682" i="2"/>
  <c r="AL674" i="2"/>
  <c r="AL666" i="2"/>
  <c r="AL658" i="2"/>
  <c r="AL650" i="2"/>
  <c r="AL642" i="2"/>
  <c r="AL634" i="2"/>
  <c r="AL626" i="2"/>
  <c r="AL618" i="2"/>
  <c r="AL610" i="2"/>
  <c r="AL602" i="2"/>
  <c r="AL594" i="2"/>
  <c r="AL586" i="2"/>
  <c r="AL578" i="2"/>
  <c r="AL570" i="2"/>
  <c r="AL562" i="2"/>
  <c r="AL554" i="2"/>
  <c r="AL546"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0" i="2"/>
  <c r="AL694" i="2"/>
  <c r="AL686" i="2"/>
  <c r="AL678" i="2"/>
  <c r="AL670" i="2"/>
  <c r="AL662" i="2"/>
  <c r="AL654" i="2"/>
  <c r="AL646" i="2"/>
  <c r="AL638" i="2"/>
  <c r="AL630" i="2"/>
  <c r="AL622" i="2"/>
  <c r="AL614" i="2"/>
  <c r="AL606" i="2"/>
  <c r="AL598" i="2"/>
  <c r="AL590" i="2"/>
  <c r="AL582" i="2"/>
  <c r="AL574" i="2"/>
  <c r="AL566" i="2"/>
  <c r="AL558" i="2"/>
  <c r="AL550" i="2"/>
  <c r="AL542" i="2"/>
  <c r="AL534" i="2"/>
  <c r="AL526" i="2"/>
  <c r="AL510" i="2"/>
  <c r="AL502" i="2"/>
  <c r="AL486" i="2"/>
  <c r="AL478" i="2"/>
  <c r="AL462" i="2"/>
  <c r="AL454"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294" i="2"/>
  <c r="AL274" i="2"/>
  <c r="AL263" i="2"/>
  <c r="AL245" i="2"/>
  <c r="AL432" i="2"/>
  <c r="AL424" i="2"/>
  <c r="AL416" i="2"/>
  <c r="AL408" i="2"/>
  <c r="AL400" i="2"/>
  <c r="AL392" i="2"/>
  <c r="AL384" i="2"/>
  <c r="AL376" i="2"/>
  <c r="AL368" i="2"/>
  <c r="AL360" i="2"/>
  <c r="AL352" i="2"/>
  <c r="AL344" i="2"/>
  <c r="AL336" i="2"/>
  <c r="AL328" i="2"/>
  <c r="AL320" i="2"/>
  <c r="AL312" i="2"/>
  <c r="AL296" i="2"/>
  <c r="AL288" i="2"/>
  <c r="AL281" i="2"/>
  <c r="AL258" i="2"/>
  <c r="AL247" i="2"/>
  <c r="AL230" i="2"/>
  <c r="AL434" i="2"/>
  <c r="AL426" i="2"/>
  <c r="AL418" i="2"/>
  <c r="AL410" i="2"/>
  <c r="AL402" i="2"/>
  <c r="AL394" i="2"/>
  <c r="AL386" i="2"/>
  <c r="AL378" i="2"/>
  <c r="AL370" i="2"/>
  <c r="AL362" i="2"/>
  <c r="AL354" i="2"/>
  <c r="AL346" i="2"/>
  <c r="AL338" i="2"/>
  <c r="AL330" i="2"/>
  <c r="AL265" i="2"/>
  <c r="AL242" i="2"/>
  <c r="AL283" i="2"/>
  <c r="AL275" i="2"/>
  <c r="AL267" i="2"/>
  <c r="AL259" i="2"/>
  <c r="AL251" i="2"/>
  <c r="AL243" i="2"/>
  <c r="AL228" i="2"/>
  <c r="AL284" i="2"/>
  <c r="AL276" i="2"/>
  <c r="AL260" i="2"/>
  <c r="AL252" i="2"/>
  <c r="AL237" i="2"/>
  <c r="AL229" i="2"/>
  <c r="AL278" i="2"/>
  <c r="AL270" i="2"/>
  <c r="AL262" i="2"/>
  <c r="AL254" i="2"/>
  <c r="AL231" i="2"/>
  <c r="AL204" i="2"/>
  <c r="AL194" i="2"/>
  <c r="AL178" i="2"/>
  <c r="AL162" i="2"/>
  <c r="AL272" i="2"/>
  <c r="AL264"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2" i="2"/>
  <c r="AL128" i="2"/>
  <c r="AL124" i="2"/>
  <c r="AL120" i="2"/>
  <c r="AL116" i="2"/>
  <c r="AL108" i="2"/>
  <c r="AL104" i="2"/>
  <c r="AL100" i="2"/>
  <c r="AL96" i="2"/>
  <c r="AL92" i="2"/>
  <c r="AL82" i="2"/>
  <c r="AL157" i="2"/>
  <c r="AL145" i="2"/>
  <c r="AL141" i="2"/>
  <c r="AL137" i="2"/>
  <c r="AL133" i="2"/>
  <c r="AL129" i="2"/>
  <c r="AL121" i="2"/>
  <c r="AL117" i="2"/>
  <c r="AL113" i="2"/>
  <c r="AL109" i="2"/>
  <c r="AL97" i="2"/>
  <c r="AL93" i="2"/>
  <c r="AL83" i="2"/>
  <c r="AL158" i="2"/>
  <c r="AL154" i="2"/>
  <c r="AL150" i="2"/>
  <c r="AL146" i="2"/>
  <c r="AL138" i="2"/>
  <c r="AL134" i="2"/>
  <c r="AL130" i="2"/>
  <c r="AL126" i="2"/>
  <c r="AL122"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33" i="2"/>
  <c r="AL25" i="2"/>
  <c r="AL75" i="2"/>
  <c r="AL67" i="2"/>
  <c r="AL59" i="2"/>
  <c r="AL51" i="2"/>
  <c r="AL43" i="2"/>
  <c r="AL35" i="2"/>
  <c r="AL27" i="2"/>
  <c r="AM17" i="2"/>
  <c r="AL19" i="2"/>
  <c r="AM19" i="2"/>
  <c r="AL20" i="2"/>
  <c r="AL18" i="2"/>
  <c r="AM18" i="2"/>
  <c r="AL16" i="2"/>
  <c r="AM16" i="2"/>
  <c r="AL15" i="2"/>
  <c r="AM15" i="2"/>
  <c r="AL12" i="2"/>
  <c r="AM12" i="2" s="1"/>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80"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64" i="2"/>
  <c r="AL1026" i="2"/>
  <c r="AL949"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897" i="2"/>
  <c r="AL887" i="2"/>
  <c r="AL826" i="2"/>
  <c r="AL741" i="2"/>
  <c r="AL1055" i="2"/>
  <c r="AL1049" i="2"/>
  <c r="AL1025" i="2"/>
  <c r="AL993" i="2"/>
  <c r="AL961" i="2"/>
  <c r="AL919" i="2"/>
  <c r="AL903" i="2"/>
  <c r="AL880" i="2"/>
  <c r="AL877" i="2"/>
  <c r="AL865" i="2"/>
  <c r="AL829"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27" i="2"/>
  <c r="AL199" i="2"/>
  <c r="AL5204" i="2"/>
  <c r="AL5235" i="2"/>
  <c r="AL5251" i="2"/>
  <c r="AL5283" i="2"/>
  <c r="AL207" i="2"/>
  <c r="AL176" i="2"/>
  <c r="AL90" i="2"/>
  <c r="AL5017" i="2"/>
  <c r="AL5037" i="2"/>
  <c r="AL5074" i="2"/>
  <c r="AL5150" i="2"/>
  <c r="AL5157" i="2"/>
  <c r="AL5160" i="2"/>
  <c r="AL5165" i="2"/>
  <c r="AL5168" i="2"/>
  <c r="AL5182" i="2"/>
  <c r="AL5189" i="2"/>
  <c r="AL5192" i="2"/>
  <c r="AL5197" i="2"/>
  <c r="AL5222" i="2"/>
  <c r="AL5058" i="2"/>
  <c r="AL197" i="2"/>
  <c r="AL190" i="2"/>
  <c r="AL40" i="2"/>
  <c r="AL34" i="2"/>
  <c r="AL5070" i="2"/>
  <c r="AL241" i="2"/>
  <c r="AL187" i="2"/>
  <c r="AL5009" i="2"/>
  <c r="AL5029" i="2"/>
  <c r="AL5123" i="2"/>
  <c r="AL174" i="2"/>
  <c r="AL66" i="2"/>
  <c r="AL56" i="2"/>
  <c r="AL5005" i="2"/>
  <c r="AL5049" i="2"/>
  <c r="AL5066" i="2"/>
  <c r="AL5132" i="2"/>
  <c r="AL5158" i="2"/>
  <c r="AL5190" i="2"/>
  <c r="AL4912"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799" i="2"/>
  <c r="AL1721" i="2"/>
  <c r="AL1657" i="2"/>
  <c r="AL2511" i="2"/>
  <c r="AL2156" i="2"/>
  <c r="AL2221" i="2"/>
  <c r="AL2188" i="2"/>
  <c r="AL2180" i="2"/>
  <c r="AL2164" i="2"/>
  <c r="AL2160" i="2"/>
  <c r="AL2152" i="2"/>
  <c r="AL2287" i="2"/>
  <c r="AL2213" i="2"/>
  <c r="AL2177" i="2"/>
  <c r="AL1990" i="2"/>
  <c r="AL1787" i="2"/>
  <c r="AL2266" i="2"/>
  <c r="AL1745" i="2"/>
  <c r="AL2112" i="2"/>
  <c r="AL2079" i="2"/>
  <c r="AL2429" i="2"/>
  <c r="AL2349" i="2"/>
  <c r="AL2309" i="2"/>
  <c r="AL2301" i="2"/>
  <c r="AL2272" i="2"/>
  <c r="AL2133" i="2"/>
  <c r="AL2121" i="2"/>
  <c r="AL2035" i="2"/>
  <c r="AL1485" i="2"/>
  <c r="AL1447" i="2"/>
  <c r="AL1438" i="2"/>
  <c r="AL1307" i="2"/>
  <c r="AL1293" i="2"/>
  <c r="AL1235" i="2"/>
  <c r="AL121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201" i="2"/>
  <c r="AL5173" i="2"/>
  <c r="AL290" i="2"/>
  <c r="AL189"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599" i="2"/>
  <c r="AL4459" i="2"/>
  <c r="AL4433" i="2"/>
  <c r="AL4303" i="2"/>
  <c r="AL3843"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636" i="2"/>
  <c r="AL4518" i="2"/>
  <c r="AL4979"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083" i="2"/>
  <c r="AL1075" i="2"/>
  <c r="AL1033" i="2"/>
  <c r="AL1019" i="2"/>
  <c r="AL951" i="2"/>
  <c r="AL959" i="2"/>
  <c r="AL955" i="2"/>
  <c r="AL941" i="2"/>
  <c r="AL934" i="2"/>
  <c r="AL928" i="2"/>
  <c r="AL850" i="2"/>
  <c r="AL824" i="2"/>
  <c r="AL211" i="2"/>
  <c r="AL91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c r="AL10" i="2"/>
  <c r="AM10" i="2" s="1"/>
  <c r="AL9" i="2"/>
  <c r="AM9" i="2" s="1"/>
  <c r="AL8" i="2"/>
  <c r="AM8" i="2"/>
  <c r="AL4994" i="2"/>
  <c r="AL4936" i="2"/>
  <c r="AL4914" i="2"/>
  <c r="AL4649" i="2"/>
  <c r="AL4597" i="2"/>
  <c r="AL4890" i="2"/>
  <c r="AL4858" i="2"/>
  <c r="AL4704" i="2"/>
  <c r="AL4664" i="2"/>
  <c r="AL4579" i="2"/>
  <c r="AL4973" i="2"/>
  <c r="AL4853" i="2"/>
  <c r="AL4785" i="2"/>
  <c r="AL4698" i="2"/>
  <c r="AL4895" i="2"/>
  <c r="AL4892" i="2"/>
  <c r="AL4850" i="2"/>
  <c r="AL4964" i="2"/>
  <c r="AL4545"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842" i="2"/>
  <c r="AL549" i="2"/>
  <c r="AL417" i="2"/>
  <c r="AL353" i="2"/>
  <c r="AL5050" i="2"/>
  <c r="AL337" i="2"/>
  <c r="AL5110" i="2"/>
  <c r="AL316" i="2"/>
  <c r="AL32" i="2"/>
  <c r="AL5046" i="2"/>
  <c r="AL183" i="2"/>
  <c r="AL5086" i="2"/>
  <c r="AL5115" i="2"/>
  <c r="AL5259" i="2"/>
  <c r="AL58" i="2"/>
  <c r="AL315" i="2"/>
  <c r="AL192" i="2"/>
  <c r="AL5098" i="2"/>
  <c r="AL5247" i="2"/>
  <c r="AL4939" i="2"/>
  <c r="AL4778" i="2"/>
  <c r="AL4677" i="2"/>
  <c r="AL4992" i="2"/>
  <c r="AL4989" i="2"/>
  <c r="AL4856" i="2"/>
  <c r="AL4840" i="2"/>
  <c r="AL4779" i="2"/>
  <c r="AL4771" i="2"/>
  <c r="AL4719" i="2"/>
  <c r="AL4556" i="2"/>
  <c r="AL4537" i="2"/>
  <c r="AL4515" i="2"/>
  <c r="AL4985" i="2"/>
  <c r="AL4948" i="2"/>
  <c r="AL4926" i="2"/>
  <c r="AL4906" i="2"/>
  <c r="AL4903" i="2"/>
  <c r="AL4871" i="2"/>
  <c r="AL4860" i="2"/>
  <c r="AL4836" i="2"/>
  <c r="AL4821" i="2"/>
  <c r="AL4817" i="2"/>
  <c r="AL4799" i="2"/>
  <c r="AL4772" i="2"/>
  <c r="AL4730" i="2"/>
  <c r="AL4647" i="2"/>
  <c r="AL4588" i="2"/>
  <c r="AL4997" i="2"/>
  <c r="AL4961" i="2"/>
  <c r="AL4951" i="2"/>
  <c r="AL4944" i="2"/>
  <c r="AL4937" i="2"/>
  <c r="AL4923" i="2"/>
  <c r="AL4913" i="2"/>
  <c r="AL4843" i="2"/>
  <c r="AL4825" i="2"/>
  <c r="AL4806" i="2"/>
  <c r="AL4766" i="2"/>
  <c r="AL4758" i="2"/>
  <c r="AL4751" i="2"/>
  <c r="AL4723" i="2"/>
  <c r="AL4675" i="2"/>
  <c r="AL4604" i="2"/>
  <c r="AL4594" i="2"/>
  <c r="AL4550" i="2"/>
  <c r="AL4506" i="2"/>
  <c r="AL4452" i="2"/>
  <c r="AL4969" i="2"/>
  <c r="AL4959" i="2"/>
  <c r="AL4911" i="2"/>
  <c r="AL4980" i="2"/>
  <c r="AL4956" i="2"/>
  <c r="AL4904" i="2"/>
  <c r="AL4884" i="2"/>
  <c r="AL4794" i="2"/>
  <c r="AL4686" i="2"/>
  <c r="AL4635" i="2"/>
  <c r="AL4574" i="2"/>
  <c r="AL4548" i="2"/>
  <c r="AL4522" i="2"/>
  <c r="AL4449" i="2"/>
  <c r="AL4953" i="2"/>
  <c r="AL4935" i="2"/>
  <c r="AL4925" i="2"/>
  <c r="AL4921"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175" i="2"/>
  <c r="AL5119" i="2"/>
  <c r="AL5136" i="2"/>
  <c r="AL385" i="2"/>
  <c r="AL5181" i="2"/>
  <c r="AL305" i="2"/>
  <c r="AL5041" i="2"/>
  <c r="AL84" i="2"/>
  <c r="AL14" i="2" l="1"/>
  <c r="AM14" i="2" s="1"/>
  <c r="AL13" i="2"/>
  <c r="AM13" i="2" s="1"/>
  <c r="AL4971" i="2"/>
  <c r="AL4942" i="2"/>
  <c r="AL4889" i="2"/>
  <c r="AL4863" i="2"/>
  <c r="AL4852" i="2"/>
  <c r="AL4808" i="2"/>
  <c r="AL4791" i="2"/>
  <c r="AL4784" i="2"/>
  <c r="AL4777" i="2"/>
  <c r="AL4717" i="2"/>
  <c r="AL4695" i="2"/>
  <c r="AL4693" i="2"/>
  <c r="AL4634" i="2"/>
  <c r="AL4621" i="2"/>
  <c r="AL4610" i="2"/>
  <c r="AL4523" i="2"/>
  <c r="AL4788" i="2"/>
  <c r="AL4743" i="2"/>
  <c r="AL4741" i="2"/>
  <c r="AL4732" i="2"/>
  <c r="AL4669" i="2"/>
  <c r="AL4584" i="2"/>
  <c r="AL4484" i="2"/>
  <c r="AL4990" i="2"/>
  <c r="AL4986" i="2"/>
  <c r="AL4962" i="2"/>
  <c r="AL4893" i="2"/>
  <c r="AL4841" i="2"/>
  <c r="AL4830" i="2"/>
  <c r="AL4810" i="2"/>
  <c r="AL4761" i="2"/>
  <c r="AL4737" i="2"/>
  <c r="AL4721" i="2"/>
  <c r="AL4701" i="2"/>
  <c r="AL4616" i="2"/>
  <c r="AL4957" i="2"/>
  <c r="AL4882" i="2"/>
  <c r="AL4873" i="2"/>
  <c r="AL4862" i="2"/>
  <c r="AL4847" i="2"/>
  <c r="AL4823" i="2"/>
  <c r="AL4977" i="2"/>
  <c r="AL4832" i="2"/>
  <c r="AL4803" i="2"/>
  <c r="AL4767" i="2"/>
  <c r="AL4763" i="2"/>
  <c r="AL4754" i="2"/>
  <c r="AL4703" i="2"/>
  <c r="AL4690" i="2"/>
  <c r="AL4660" i="2"/>
  <c r="AL4725" i="2"/>
  <c r="AL4618" i="2"/>
  <c r="AL4746" i="2"/>
  <c r="AL4707" i="2"/>
  <c r="AL4696" i="2"/>
  <c r="AL4570" i="2"/>
  <c r="AL4531" i="2"/>
  <c r="AL4682" i="2"/>
  <c r="AL4996" i="2"/>
  <c r="AL4983" i="2"/>
  <c r="AL4972" i="2"/>
  <c r="AL4954" i="2"/>
  <c r="AL4927" i="2"/>
  <c r="AL4901" i="2"/>
  <c r="AL4827" i="2"/>
  <c r="AL4809" i="2"/>
  <c r="AL4762" i="2"/>
  <c r="AL4760" i="2"/>
  <c r="AL4753" i="2"/>
  <c r="AL4729" i="2"/>
  <c r="AL4727" i="2"/>
  <c r="AL4683" i="2"/>
  <c r="AL4655" i="2"/>
  <c r="AL4622" i="2"/>
  <c r="AL4544" i="2"/>
  <c r="AL4987" i="2"/>
  <c r="AL4883" i="2"/>
  <c r="AL4844" i="2"/>
  <c r="AL4715" i="2"/>
  <c r="AL4585" i="2"/>
  <c r="AL4535" i="2"/>
  <c r="AL4513" i="2"/>
  <c r="AL4511" i="2"/>
  <c r="AL4947" i="2"/>
  <c r="AL4945" i="2"/>
  <c r="AL4907" i="2"/>
  <c r="AL4861" i="2"/>
  <c r="AL4859" i="2"/>
  <c r="AL4831" i="2"/>
  <c r="AL4793" i="2"/>
  <c r="AL4722" i="2"/>
  <c r="AL4713" i="2"/>
  <c r="AL4676" i="2"/>
  <c r="AL4492" i="2"/>
  <c r="AL4397" i="2"/>
  <c r="AL4612" i="2"/>
  <c r="AL4578" i="2"/>
  <c r="AL4542" i="2"/>
  <c r="AL4540" i="2"/>
  <c r="AL4476" i="2"/>
  <c r="AL4472" i="2"/>
  <c r="AL4438" i="2"/>
  <c r="AL4391" i="2"/>
  <c r="AL4356" i="2"/>
  <c r="AL4296" i="2"/>
  <c r="AL4244" i="2"/>
  <c r="AL4195" i="2"/>
  <c r="AL4464" i="2"/>
  <c r="AL4422" i="2"/>
  <c r="AL4360" i="2"/>
  <c r="AL4122" i="2"/>
  <c r="AL3947" i="2"/>
  <c r="AL4569" i="2"/>
  <c r="AL4534" i="2"/>
  <c r="AL4532" i="2"/>
  <c r="AL4510" i="2"/>
  <c r="AL4462" i="2"/>
  <c r="AL4458" i="2"/>
  <c r="AL4311" i="2"/>
  <c r="AL3835" i="2"/>
  <c r="AL3728" i="2"/>
  <c r="AL4530" i="2"/>
  <c r="AL4488" i="2"/>
  <c r="AL4407" i="2"/>
  <c r="AL4182" i="2"/>
  <c r="AL4475" i="2"/>
  <c r="AL4409" i="2"/>
  <c r="AL4323" i="2"/>
  <c r="AL4194" i="2"/>
  <c r="AL4557" i="2"/>
  <c r="AL4477" i="2"/>
  <c r="AL4437" i="2"/>
  <c r="AL4380" i="2"/>
  <c r="AL4306" i="2"/>
  <c r="AL4304" i="2"/>
  <c r="AL4097" i="2"/>
  <c r="AL4081" i="2"/>
  <c r="AL4192" i="2"/>
  <c r="AL4186" i="2"/>
  <c r="AL4111" i="2"/>
  <c r="AL3760" i="2"/>
  <c r="AL3571" i="2"/>
  <c r="AL4497" i="2"/>
  <c r="AL4274" i="2"/>
  <c r="AL4228" i="2"/>
  <c r="AL4043" i="2"/>
  <c r="AL4590" i="2"/>
  <c r="AL4521" i="2"/>
  <c r="AL4517" i="2"/>
  <c r="AL4408" i="2"/>
  <c r="AL4371" i="2"/>
  <c r="AL4320" i="2"/>
  <c r="AL4117" i="2"/>
  <c r="AL3993" i="2"/>
  <c r="AL2482" i="2"/>
  <c r="AL3955" i="2"/>
  <c r="AL3464" i="2"/>
  <c r="AL3360" i="2"/>
  <c r="AL3872" i="2"/>
  <c r="AL3774" i="2"/>
  <c r="AL3741" i="2"/>
  <c r="AL3884" i="2"/>
  <c r="AL3751" i="2"/>
  <c r="AL3712" i="2"/>
  <c r="AL3611" i="2"/>
  <c r="AL3579" i="2"/>
  <c r="AL3555" i="2"/>
  <c r="AL3506" i="2"/>
  <c r="AL3480" i="2"/>
  <c r="AL3468" i="2"/>
  <c r="AL3316" i="2"/>
  <c r="AL3307" i="2"/>
  <c r="AL3832" i="2"/>
  <c r="AL3757" i="2"/>
  <c r="AL3628" i="2"/>
  <c r="AL2690" i="2"/>
  <c r="AL3771" i="2"/>
  <c r="AL4072" i="2"/>
  <c r="AL3526" i="2"/>
  <c r="AL3709" i="2"/>
  <c r="AL3676" i="2"/>
  <c r="AL3481" i="2"/>
  <c r="AL3302" i="2"/>
  <c r="AL3927" i="2"/>
  <c r="AL3885" i="2"/>
  <c r="AL3883" i="2"/>
  <c r="AL3716" i="2"/>
  <c r="AL3499" i="2"/>
  <c r="AL3494" i="2"/>
  <c r="AL3492" i="2"/>
  <c r="AL3447" i="2"/>
  <c r="AL3300" i="2"/>
  <c r="AL3289" i="2"/>
  <c r="AL3285" i="2"/>
  <c r="AL3254" i="2"/>
  <c r="AL2968" i="2"/>
  <c r="AL3936" i="2"/>
  <c r="AL3610" i="2"/>
  <c r="AL3552" i="2"/>
  <c r="AL3443" i="2"/>
  <c r="AL3306" i="2"/>
  <c r="AL3892" i="2"/>
  <c r="AL3695" i="2"/>
  <c r="AL2653" i="2"/>
  <c r="AL2637" i="2"/>
  <c r="AL2029" i="2"/>
  <c r="AL3005" i="2"/>
  <c r="AL2722" i="2"/>
  <c r="AL2608" i="2"/>
  <c r="AL2522" i="2"/>
  <c r="AL2479" i="2"/>
  <c r="AL2689" i="2"/>
  <c r="AL2353" i="2"/>
  <c r="AL3212" i="2"/>
  <c r="AL2759" i="2"/>
  <c r="AL2605" i="2"/>
  <c r="AL2476" i="2"/>
  <c r="AL2416" i="2"/>
  <c r="AL2320" i="2"/>
  <c r="AL2159" i="2"/>
  <c r="AL2006" i="2"/>
  <c r="AL3018" i="2"/>
  <c r="AL2727" i="2"/>
  <c r="AL2622" i="2"/>
  <c r="AL2446" i="2"/>
  <c r="AL2191" i="2"/>
  <c r="AL2204" i="2"/>
  <c r="AL2334" i="2"/>
  <c r="AL2263" i="2"/>
  <c r="AL1818" i="2"/>
  <c r="AL2277" i="2"/>
  <c r="AL1649" i="2"/>
  <c r="AL1633" i="2"/>
  <c r="AL1789" i="2"/>
  <c r="AL2015" i="2"/>
  <c r="AL1224" i="2"/>
  <c r="AL1173" i="2"/>
  <c r="AL967" i="2"/>
  <c r="AL1343" i="2"/>
  <c r="AL950" i="2"/>
  <c r="AL1486" i="2"/>
  <c r="AL1275" i="2"/>
  <c r="AL1249" i="2"/>
  <c r="AL1001" i="2"/>
  <c r="AL1327" i="2"/>
  <c r="AL1183" i="2"/>
  <c r="AL1093" i="2"/>
  <c r="AL947" i="2"/>
  <c r="AL525" i="2"/>
  <c r="AL597" i="2"/>
  <c r="AL704" i="2"/>
  <c r="AL297" i="2"/>
  <c r="AL445" i="2"/>
  <c r="AL5118" i="2"/>
  <c r="AL179" i="2"/>
  <c r="AL324" i="2"/>
  <c r="AL48" i="2"/>
  <c r="AL5082"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<sst xmlns="http://schemas.openxmlformats.org/spreadsheetml/2006/main" count="235" uniqueCount="127">
  <si>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</si>
  <si>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</si>
  <si>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</si>
  <si>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</si>
  <si>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</si>
  <si>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</si>
  <si>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</si>
  <si>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</si>
  <si>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</si>
  <si>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</si>
  <si>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</si>
  <si>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</si>
  <si>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</si>
  <si>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</si>
  <si>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</si>
  <si>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</si>
  <si>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</si>
  <si>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</si>
  <si>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</si>
  <si>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</si>
  <si>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</si>
  <si>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</si>
  <si>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</si>
  <si>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</si>
  <si>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</si>
  <si>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</si>
  <si>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</si>
  <si>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</si>
  <si>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</si>
  <si>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</si>
  <si>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</si>
  <si>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</si>
  <si>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</si>
  <si>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</si>
  <si>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</si>
  <si>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</si>
  <si>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</si>
  <si>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</si>
  <si>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</si>
  <si>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</si>
  <si>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</si>
  <si>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</si>
  <si>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</si>
  <si>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</si>
  <si>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</si>
  <si>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</si>
  <si>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</si>
  <si>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</si>
  <si>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</si>
  <si>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</si>
  <si>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</si>
  <si>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</si>
  <si>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</si>
  <si>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</si>
  <si>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</si>
  <si>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</si>
  <si>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</si>
  <si>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</si>
  <si>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</si>
  <si>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</si>
  <si>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</si>
  <si>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</si>
  <si>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</si>
  <si>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</si>
  <si>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</si>
  <si>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</si>
  <si>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</si>
  <si>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</si>
  <si>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</si>
  <si>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</si>
  <si>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</si>
  <si>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</si>
  <si>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</si>
  <si>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</si>
  <si>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</si>
  <si>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</si>
  <si>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</si>
  <si>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</si>
  <si>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</si>
  <si>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</si>
  <si>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</si>
  <si>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</si>
  <si>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</si>
  <si>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</si>
  <si>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</si>
  <si>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</si>
  <si>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</si>
  <si>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</si>
  <si>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</si>
  <si>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</si>
  <si>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</si>
  <si>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</si>
  <si>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KP, AI</t>
  </si>
  <si>
    <t>Tributary to Elk River</t>
  </si>
  <si>
    <t>Elk River FSR</t>
  </si>
  <si>
    <t>Closed Bottom Structure</t>
  </si>
  <si>
    <t>Round Culvert</t>
  </si>
  <si>
    <t>No</t>
  </si>
  <si>
    <t>Yes</t>
  </si>
  <si>
    <t>Deep Fill</t>
  </si>
  <si>
    <t>High</t>
  </si>
  <si>
    <t xml:space="preserve">Large perched culvert. High value habitat. </t>
  </si>
  <si>
    <t>Highway 43</t>
  </si>
  <si>
    <t>MoTi</t>
  </si>
  <si>
    <t>Medium</t>
  </si>
  <si>
    <t>AI, KP</t>
  </si>
  <si>
    <t>Oval Culvert</t>
  </si>
  <si>
    <t xml:space="preserve">Large stream with good flow at this crossing. Culvert inlet is damaged and there is a large outlet drop. </t>
  </si>
  <si>
    <t>Dewatered upstream. Downstream, deep pool present, fed subsurface from northside of culvert.  Approximately 9 WCT in outlet pool.  Four fish ~300mm and 5 fish ~200 mm. High confidence that the larger fish were WCT as easy to recognize from bank.</t>
  </si>
  <si>
    <t>Tributary to Grave Creek</t>
  </si>
  <si>
    <t>Brule Creek</t>
  </si>
  <si>
    <t>Grave Creek FSR</t>
  </si>
  <si>
    <t>Low</t>
  </si>
  <si>
    <t>Dry immediately downstream at time of survey. Large gravel deposit on upstream side of culvert.  Culvert slope calculated from lazer level measurements.</t>
  </si>
  <si>
    <t>Grave Creek</t>
  </si>
  <si>
    <t xml:space="preserve">Highest value habitat seems to be in adjacent section of stream mapped as tributary to Grave Creek however this stream is mapped as the mainstem.  Some pools and gravels suitable for spawning present.  Adult WCT observed upstream at outlet pool of next culvert upstream.  Lotic conducting 2 pass closed site removal electrofishing in this section of stream or immediately adjacent on same day as survey.   </t>
  </si>
  <si>
    <t>Tributary to Morrisey Crekk</t>
  </si>
  <si>
    <t>River Rd</t>
  </si>
  <si>
    <t>Busato Rd</t>
  </si>
  <si>
    <t>DRM - 5466 02 0</t>
  </si>
  <si>
    <t>No outlet drop but approximately 0.6m drop from outlet to to riprap locted 2m downstream fom culvert.  Appears that Newbury weirs may have been installed downstream to provide access to culvert for juveniles and adult salmonids with several boulder lines apparent.</t>
  </si>
  <si>
    <t>Tributary to Lizard Creek</t>
  </si>
  <si>
    <t>Island Lake Lodge Road</t>
  </si>
  <si>
    <t>Stream may be diverted upstream to provide power to Island Lake Lodge. Unmapped.</t>
  </si>
  <si>
    <t>Inlet drop of approximately 0.7m.  Fry throughout.  Electrofished upstream and downstream with abundant WCT fry and juveniles throughout.  EB also present.</t>
  </si>
  <si>
    <t>Approximaely 15 fish in outlet pool (50 - 200mm).  Culvert has had work recently.  Fry observed upstream throughout most of area surveyed.</t>
  </si>
  <si>
    <t xml:space="preserve">Approximately 15 fish (WCT) at outlet pool with lenghtup to approx. 170mm.  Road network incorrectly mapped.  Road crosses stream twice in 200 m due to channel jumping banks approximately 175 m upstream.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</si>
</sst>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G16" sqref="G16"/>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44090</v>
      </c>
      <c r="B5" s="112"/>
      <c r="C5" s="117">
        <v>4605732</v>
      </c>
      <c r="D5" s="117" t="s">
        <v>92</v>
      </c>
      <c r="E5" s="77">
        <v>11</v>
      </c>
      <c r="F5" s="53">
        <v>646735</v>
      </c>
      <c r="G5" s="51">
        <v>5554534</v>
      </c>
      <c r="H5" s="11" t="s">
        <v>93</v>
      </c>
      <c r="I5" s="11" t="s">
        <v>94</v>
      </c>
      <c r="J5" s="104">
        <v>112.3</v>
      </c>
      <c r="K5" s="11"/>
      <c r="L5" s="117" t="s">
        <v>95</v>
      </c>
      <c r="M5" s="117" t="s">
        <v>96</v>
      </c>
      <c r="N5" s="109">
        <v>1.5</v>
      </c>
      <c r="O5" s="109">
        <v>49</v>
      </c>
      <c r="P5" s="117" t="s">
        <v>97</v>
      </c>
      <c r="Q5" s="122"/>
      <c r="R5" s="117" t="s">
        <v>97</v>
      </c>
      <c r="S5" s="117" t="s">
        <v>97</v>
      </c>
      <c r="T5" s="122"/>
      <c r="U5" s="117">
        <v>8</v>
      </c>
      <c r="V5" s="117">
        <v>1.48</v>
      </c>
      <c r="W5" s="117">
        <v>1.3</v>
      </c>
      <c r="X5" s="117" t="s">
        <v>98</v>
      </c>
      <c r="Y5" s="117">
        <v>3.5</v>
      </c>
      <c r="Z5" s="117">
        <v>3.5</v>
      </c>
      <c r="AA5" s="117">
        <v>1.5</v>
      </c>
      <c r="AB5" s="116" t="s">
        <v>97</v>
      </c>
      <c r="AC5" s="116" t="s">
        <v>97</v>
      </c>
      <c r="AD5" s="117" t="s">
        <v>99</v>
      </c>
      <c r="AE5" s="117" t="s">
        <v>100</v>
      </c>
      <c r="AF5" s="22">
        <f>IF(ISBLANK(Z5), 0, IF(ISBLANK(N5) &lt; 0, 0,Z5 / N5))</f>
        <v>2.3333333333333335</v>
      </c>
      <c r="AG5" s="15">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42</v>
      </c>
      <c r="AM5" s="16" t="str">
        <f>IF(ISBLANK(L5), "", IF(L5 = "Open Bottom Structure", "Passable", IF(L5 = "Other", "Unknown", IF(AL5 &lt; 15, "Passable", IF(AND(AL5 &gt;= 15,AL5 &lt;= 19), "Potential", IF(AL5 &gt; 19, "Barrier", ""))))))</f>
        <v>Barrier</v>
      </c>
      <c r="AN5" s="117"/>
      <c r="AO5" s="117"/>
      <c r="AP5" s="103" t="s">
        <v>101</v>
      </c>
    </row>
    <row r="6" spans="1:42" s="13" customFormat="1" x14ac:dyDescent="0.25">
      <c r="A6" s="118">
        <v>44091</v>
      </c>
      <c r="B6" s="112"/>
      <c r="C6" s="117">
        <v>4600070</v>
      </c>
      <c r="D6" s="117" t="s">
        <v>92</v>
      </c>
      <c r="E6" s="77">
        <v>11</v>
      </c>
      <c r="F6" s="78">
        <v>651516</v>
      </c>
      <c r="G6" s="79">
        <v>5528829</v>
      </c>
      <c r="H6" s="117" t="s">
        <v>110</v>
      </c>
      <c r="I6" s="77" t="s">
        <v>102</v>
      </c>
      <c r="J6" s="104"/>
      <c r="K6" s="117" t="s">
        <v>103</v>
      </c>
      <c r="L6" s="117" t="s">
        <v>95</v>
      </c>
      <c r="M6" s="117" t="s">
        <v>96</v>
      </c>
      <c r="N6" s="109">
        <v>2.5</v>
      </c>
      <c r="O6" s="109">
        <v>35</v>
      </c>
      <c r="P6" s="117" t="s">
        <v>98</v>
      </c>
      <c r="Q6" s="117">
        <v>0.05</v>
      </c>
      <c r="R6" s="117" t="s">
        <v>98</v>
      </c>
      <c r="S6" s="117" t="s">
        <v>97</v>
      </c>
      <c r="T6" s="122"/>
      <c r="U6" s="117">
        <v>3</v>
      </c>
      <c r="V6" s="117">
        <v>0</v>
      </c>
      <c r="W6" s="117">
        <v>1.7</v>
      </c>
      <c r="X6" s="117" t="s">
        <v>97</v>
      </c>
      <c r="Y6" s="117">
        <v>2.5</v>
      </c>
      <c r="Z6" s="117">
        <v>6.1</v>
      </c>
      <c r="AA6" s="117">
        <v>1.5</v>
      </c>
      <c r="AB6" s="116" t="s">
        <v>97</v>
      </c>
      <c r="AC6" s="116" t="s">
        <v>98</v>
      </c>
      <c r="AD6" s="117" t="s">
        <v>99</v>
      </c>
      <c r="AE6" s="117" t="s">
        <v>104</v>
      </c>
      <c r="AF6" s="22">
        <f t="shared" ref="AF6:AF11" si="0">IF(ISBLANK(Z6), 0, IF(ISBLANK(N6) &lt; 0, 0,Z6 / N6))</f>
        <v>2.44</v>
      </c>
      <c r="AG6" s="15">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22</v>
      </c>
      <c r="AM6" s="16" t="str">
        <f t="shared" ref="AM6:AM67" si="7">IF(ISBLANK(L6), "", IF(L6 = "Open Bottom Structure", "Passable", IF(L6 = "Other", "Unknown", IF(AL6 &lt; 15, "Passable", IF(AND(AL6 &gt;= 15,AL6 &lt;= 19), "Potential", IF(AL6 &gt; 19, "Barrier", ""))))))</f>
        <v>Barrier</v>
      </c>
      <c r="AN6" s="117"/>
      <c r="AO6" s="117"/>
      <c r="AP6" s="103" t="s">
        <v>108</v>
      </c>
    </row>
    <row r="7" spans="1:42" s="13" customFormat="1" x14ac:dyDescent="0.25">
      <c r="A7" s="118">
        <v>44091</v>
      </c>
      <c r="B7" s="112"/>
      <c r="C7" s="117">
        <v>4600183</v>
      </c>
      <c r="D7" s="117" t="s">
        <v>105</v>
      </c>
      <c r="E7" s="77">
        <v>11</v>
      </c>
      <c r="F7" s="78">
        <v>651626</v>
      </c>
      <c r="G7" s="79">
        <v>5528888</v>
      </c>
      <c r="H7" s="117" t="s">
        <v>110</v>
      </c>
      <c r="I7" s="77" t="s">
        <v>118</v>
      </c>
      <c r="J7" s="104"/>
      <c r="K7" s="117" t="s">
        <v>103</v>
      </c>
      <c r="L7" s="117" t="s">
        <v>95</v>
      </c>
      <c r="M7" s="117" t="s">
        <v>106</v>
      </c>
      <c r="N7" s="115">
        <v>3.3</v>
      </c>
      <c r="O7" s="115">
        <v>20</v>
      </c>
      <c r="P7" s="117" t="s">
        <v>97</v>
      </c>
      <c r="Q7" s="122"/>
      <c r="R7" s="117" t="s">
        <v>97</v>
      </c>
      <c r="S7" s="117" t="s">
        <v>97</v>
      </c>
      <c r="T7" s="122"/>
      <c r="U7" s="117">
        <v>1</v>
      </c>
      <c r="V7" s="117">
        <v>0.7</v>
      </c>
      <c r="W7" s="117">
        <v>1.5</v>
      </c>
      <c r="X7" s="117" t="s">
        <v>98</v>
      </c>
      <c r="Y7" s="117">
        <v>4</v>
      </c>
      <c r="Z7" s="117">
        <v>7.1</v>
      </c>
      <c r="AA7" s="117">
        <v>2</v>
      </c>
      <c r="AB7" s="116" t="s">
        <v>97</v>
      </c>
      <c r="AC7" s="116" t="s">
        <v>97</v>
      </c>
      <c r="AD7" s="117" t="s">
        <v>99</v>
      </c>
      <c r="AE7" s="117" t="s">
        <v>100</v>
      </c>
      <c r="AF7" s="22">
        <f t="shared" si="0"/>
        <v>2.1515151515151514</v>
      </c>
      <c r="AG7" s="15">
        <f t="shared" si="1"/>
        <v>3</v>
      </c>
      <c r="AH7" s="7">
        <f t="shared" si="2"/>
        <v>10</v>
      </c>
      <c r="AI7" s="7">
        <f t="shared" si="3"/>
        <v>10</v>
      </c>
      <c r="AJ7" s="7">
        <f t="shared" si="4"/>
        <v>10</v>
      </c>
      <c r="AK7" s="12">
        <f t="shared" si="5"/>
        <v>6</v>
      </c>
      <c r="AL7" s="14">
        <f t="shared" si="6"/>
        <v>39</v>
      </c>
      <c r="AM7" s="16" t="str">
        <f t="shared" si="7"/>
        <v>Barrier</v>
      </c>
      <c r="AN7" s="117"/>
      <c r="AO7" s="117"/>
      <c r="AP7" s="117" t="s">
        <v>107</v>
      </c>
    </row>
    <row r="8" spans="1:42" s="13" customFormat="1" x14ac:dyDescent="0.25">
      <c r="A8" s="118">
        <v>44094</v>
      </c>
      <c r="B8" s="110">
        <v>62423</v>
      </c>
      <c r="C8" s="117"/>
      <c r="D8" s="117" t="s">
        <v>92</v>
      </c>
      <c r="E8" s="77">
        <v>11</v>
      </c>
      <c r="F8" s="78">
        <v>660508</v>
      </c>
      <c r="G8" s="79">
        <v>5524239</v>
      </c>
      <c r="H8" s="117" t="s">
        <v>109</v>
      </c>
      <c r="I8" s="77" t="s">
        <v>111</v>
      </c>
      <c r="J8" s="105"/>
      <c r="K8" s="108"/>
      <c r="L8" s="117" t="s">
        <v>95</v>
      </c>
      <c r="M8" s="117" t="s">
        <v>96</v>
      </c>
      <c r="N8" s="115">
        <v>0.9</v>
      </c>
      <c r="O8" s="115">
        <v>12</v>
      </c>
      <c r="P8" s="117" t="s">
        <v>97</v>
      </c>
      <c r="Q8" s="122"/>
      <c r="R8" s="117" t="s">
        <v>97</v>
      </c>
      <c r="S8" s="117" t="s">
        <v>97</v>
      </c>
      <c r="T8" s="122"/>
      <c r="U8" s="117">
        <v>0.3</v>
      </c>
      <c r="V8" s="117">
        <v>0.18</v>
      </c>
      <c r="W8" s="117">
        <v>0.6</v>
      </c>
      <c r="X8" s="117" t="s">
        <v>98</v>
      </c>
      <c r="Y8" s="117">
        <v>0.54</v>
      </c>
      <c r="Z8" s="117">
        <v>1.44</v>
      </c>
      <c r="AA8" s="117">
        <v>4</v>
      </c>
      <c r="AB8" s="116" t="s">
        <v>97</v>
      </c>
      <c r="AC8" s="116" t="s">
        <v>97</v>
      </c>
      <c r="AD8" s="117" t="s">
        <v>99</v>
      </c>
      <c r="AE8" s="117" t="s">
        <v>112</v>
      </c>
      <c r="AF8" s="22">
        <f t="shared" si="0"/>
        <v>1.5999999999999999</v>
      </c>
      <c r="AG8" s="15">
        <f t="shared" si="1"/>
        <v>0</v>
      </c>
      <c r="AH8" s="7">
        <f t="shared" si="2"/>
        <v>10</v>
      </c>
      <c r="AI8" s="7">
        <f t="shared" si="3"/>
        <v>5</v>
      </c>
      <c r="AJ8" s="7">
        <f t="shared" si="4"/>
        <v>0</v>
      </c>
      <c r="AK8" s="12">
        <f t="shared" si="5"/>
        <v>6</v>
      </c>
      <c r="AL8" s="14">
        <f t="shared" si="6"/>
        <v>21</v>
      </c>
      <c r="AM8" s="16" t="str">
        <f t="shared" si="7"/>
        <v>Barrier</v>
      </c>
      <c r="AN8" s="117"/>
      <c r="AO8" s="117"/>
      <c r="AP8" s="117" t="s">
        <v>113</v>
      </c>
    </row>
    <row r="9" spans="1:42" x14ac:dyDescent="0.25">
      <c r="A9" s="118">
        <v>44094</v>
      </c>
      <c r="B9" s="111">
        <v>62425</v>
      </c>
      <c r="C9" s="117"/>
      <c r="D9" s="117" t="s">
        <v>92</v>
      </c>
      <c r="E9" s="77">
        <v>11</v>
      </c>
      <c r="F9" s="78">
        <v>661486</v>
      </c>
      <c r="G9" s="79">
        <v>5524426</v>
      </c>
      <c r="H9" s="103" t="s">
        <v>114</v>
      </c>
      <c r="I9" s="77"/>
      <c r="J9" s="104"/>
      <c r="K9" s="108"/>
      <c r="L9" s="117" t="s">
        <v>95</v>
      </c>
      <c r="M9" s="116" t="s">
        <v>96</v>
      </c>
      <c r="N9" s="113">
        <v>1.2</v>
      </c>
      <c r="O9" s="113">
        <v>11.9</v>
      </c>
      <c r="P9" s="117" t="s">
        <v>97</v>
      </c>
      <c r="Q9" s="122"/>
      <c r="R9" s="117" t="s">
        <v>97</v>
      </c>
      <c r="S9" s="117" t="s">
        <v>97</v>
      </c>
      <c r="T9" s="122"/>
      <c r="U9" s="117">
        <v>1</v>
      </c>
      <c r="V9" s="117">
        <v>0.47</v>
      </c>
      <c r="W9" s="117">
        <v>0.38</v>
      </c>
      <c r="X9" s="117" t="s">
        <v>98</v>
      </c>
      <c r="Y9" s="117">
        <v>7.5</v>
      </c>
      <c r="Z9" s="117">
        <v>3.7</v>
      </c>
      <c r="AA9" s="117">
        <v>7.5</v>
      </c>
      <c r="AB9" s="116" t="s">
        <v>97</v>
      </c>
      <c r="AC9" s="116" t="s">
        <v>98</v>
      </c>
      <c r="AD9" s="117" t="s">
        <v>99</v>
      </c>
      <c r="AE9" s="117" t="s">
        <v>104</v>
      </c>
      <c r="AF9" s="22">
        <f t="shared" si="0"/>
        <v>3.0833333333333335</v>
      </c>
      <c r="AG9" s="15">
        <f t="shared" si="1"/>
        <v>0</v>
      </c>
      <c r="AH9" s="7">
        <f t="shared" si="2"/>
        <v>10</v>
      </c>
      <c r="AI9" s="7">
        <f t="shared" si="3"/>
        <v>10</v>
      </c>
      <c r="AJ9" s="7">
        <f t="shared" si="4"/>
        <v>10</v>
      </c>
      <c r="AK9" s="12">
        <f t="shared" si="5"/>
        <v>6</v>
      </c>
      <c r="AL9" s="14">
        <f t="shared" si="6"/>
        <v>36</v>
      </c>
      <c r="AM9" s="16" t="str">
        <f t="shared" si="7"/>
        <v>Barrier</v>
      </c>
      <c r="AN9" s="117"/>
      <c r="AO9" s="117"/>
      <c r="AP9" s="117" t="s">
        <v>115</v>
      </c>
    </row>
    <row r="10" spans="1:42" x14ac:dyDescent="0.25">
      <c r="A10" s="118">
        <v>44094</v>
      </c>
      <c r="B10" s="111">
        <v>62426</v>
      </c>
      <c r="C10" s="117"/>
      <c r="D10" s="117" t="s">
        <v>92</v>
      </c>
      <c r="E10" s="77">
        <v>11</v>
      </c>
      <c r="F10" s="78">
        <v>661611</v>
      </c>
      <c r="G10" s="79">
        <v>5524460</v>
      </c>
      <c r="H10" s="103" t="s">
        <v>114</v>
      </c>
      <c r="I10" s="77"/>
      <c r="J10" s="104"/>
      <c r="K10" s="117"/>
      <c r="L10" s="117" t="s">
        <v>95</v>
      </c>
      <c r="M10" s="117" t="s">
        <v>96</v>
      </c>
      <c r="N10" s="115">
        <v>1.2</v>
      </c>
      <c r="O10" s="115">
        <v>12.5</v>
      </c>
      <c r="P10" s="117" t="s">
        <v>97</v>
      </c>
      <c r="Q10" s="123"/>
      <c r="R10" s="117" t="s">
        <v>97</v>
      </c>
      <c r="S10" s="117" t="s">
        <v>97</v>
      </c>
      <c r="T10" s="123"/>
      <c r="U10" s="115">
        <v>1</v>
      </c>
      <c r="V10" s="117">
        <v>0.25</v>
      </c>
      <c r="W10" s="115">
        <v>0.65</v>
      </c>
      <c r="X10" s="117" t="s">
        <v>98</v>
      </c>
      <c r="Y10" s="115">
        <v>5</v>
      </c>
      <c r="Z10" s="115">
        <v>3.5</v>
      </c>
      <c r="AA10" s="117">
        <v>6</v>
      </c>
      <c r="AB10" s="117" t="s">
        <v>97</v>
      </c>
      <c r="AC10" s="117" t="s">
        <v>97</v>
      </c>
      <c r="AD10" s="117" t="s">
        <v>99</v>
      </c>
      <c r="AE10" s="117" t="s">
        <v>104</v>
      </c>
      <c r="AF10" s="22">
        <f t="shared" si="0"/>
        <v>2.916666666666667</v>
      </c>
      <c r="AG10" s="15">
        <f t="shared" si="1"/>
        <v>0</v>
      </c>
      <c r="AH10" s="7">
        <f t="shared" si="2"/>
        <v>10</v>
      </c>
      <c r="AI10" s="7">
        <f t="shared" si="3"/>
        <v>5</v>
      </c>
      <c r="AJ10" s="7">
        <f t="shared" si="4"/>
        <v>10</v>
      </c>
      <c r="AK10" s="12">
        <f t="shared" si="5"/>
        <v>6</v>
      </c>
      <c r="AL10" s="14">
        <f t="shared" si="6"/>
        <v>31</v>
      </c>
      <c r="AM10" s="16" t="str">
        <f t="shared" si="7"/>
        <v>Barrier</v>
      </c>
      <c r="AN10" s="116"/>
      <c r="AO10" s="115"/>
      <c r="AP10" s="117" t="s">
        <v>126</v>
      </c>
    </row>
    <row r="11" spans="1:42" x14ac:dyDescent="0.25">
      <c r="A11" s="118">
        <v>44095</v>
      </c>
      <c r="B11" s="111">
        <v>50185</v>
      </c>
      <c r="C11" s="103"/>
      <c r="D11" s="116" t="s">
        <v>92</v>
      </c>
      <c r="E11" s="116">
        <v>11</v>
      </c>
      <c r="F11" s="107">
        <v>645683</v>
      </c>
      <c r="G11" s="106">
        <v>5469025</v>
      </c>
      <c r="H11" s="103" t="s">
        <v>116</v>
      </c>
      <c r="I11" s="77" t="s">
        <v>117</v>
      </c>
      <c r="J11" s="104"/>
      <c r="K11" s="116" t="s">
        <v>119</v>
      </c>
      <c r="L11" s="117" t="s">
        <v>95</v>
      </c>
      <c r="M11" s="117" t="s">
        <v>96</v>
      </c>
      <c r="N11" s="113">
        <v>2.2000000000000002</v>
      </c>
      <c r="O11" s="113">
        <v>17.2</v>
      </c>
      <c r="P11" s="116" t="s">
        <v>97</v>
      </c>
      <c r="Q11" s="124"/>
      <c r="R11" s="116" t="s">
        <v>97</v>
      </c>
      <c r="S11" s="116" t="s">
        <v>97</v>
      </c>
      <c r="T11" s="124"/>
      <c r="U11" s="113">
        <v>1.4</v>
      </c>
      <c r="V11" s="116">
        <v>0</v>
      </c>
      <c r="W11" s="113">
        <v>0</v>
      </c>
      <c r="X11" s="116" t="s">
        <v>97</v>
      </c>
      <c r="Y11" s="113">
        <v>3.43</v>
      </c>
      <c r="Z11" s="113">
        <v>4.3</v>
      </c>
      <c r="AA11" s="116">
        <v>4.3</v>
      </c>
      <c r="AB11" s="116" t="s">
        <v>97</v>
      </c>
      <c r="AC11" s="116" t="s">
        <v>98</v>
      </c>
      <c r="AD11" s="116" t="s">
        <v>99</v>
      </c>
      <c r="AE11" s="116" t="s">
        <v>100</v>
      </c>
      <c r="AF11" s="22">
        <f t="shared" si="0"/>
        <v>1.9545454545454544</v>
      </c>
      <c r="AG11" s="15">
        <f t="shared" si="1"/>
        <v>3</v>
      </c>
      <c r="AH11" s="7">
        <f t="shared" si="2"/>
        <v>10</v>
      </c>
      <c r="AI11" s="7">
        <f t="shared" si="3"/>
        <v>0</v>
      </c>
      <c r="AJ11" s="7">
        <f>IF(Y11&lt;1,0,IF(AND(Y11&gt;=1,Y11&lt;3),5,IF(Y11&gt;=3,10,0)))</f>
        <v>10</v>
      </c>
      <c r="AK11" s="12">
        <f t="shared" si="5"/>
        <v>6</v>
      </c>
      <c r="AL11" s="14">
        <f t="shared" si="6"/>
        <v>29</v>
      </c>
      <c r="AM11" s="16" t="str">
        <f t="shared" si="7"/>
        <v>Barrier</v>
      </c>
      <c r="AN11" s="116"/>
      <c r="AO11" s="117"/>
      <c r="AP11" s="117" t="s">
        <v>120</v>
      </c>
    </row>
    <row r="12" spans="1:42" ht="30" x14ac:dyDescent="0.25">
      <c r="A12" s="82">
        <v>44096</v>
      </c>
      <c r="B12" s="73">
        <v>50159</v>
      </c>
      <c r="C12" s="25"/>
      <c r="D12" s="25" t="s">
        <v>92</v>
      </c>
      <c r="E12" s="77">
        <v>11</v>
      </c>
      <c r="F12" s="78">
        <v>633320</v>
      </c>
      <c r="G12" s="79">
        <v>5484601</v>
      </c>
      <c r="H12" s="77" t="s">
        <v>121</v>
      </c>
      <c r="I12" s="77" t="s">
        <v>122</v>
      </c>
      <c r="J12" s="42"/>
      <c r="K12" s="77"/>
      <c r="L12" s="25" t="s">
        <v>95</v>
      </c>
      <c r="M12" s="25" t="s">
        <v>96</v>
      </c>
      <c r="N12" s="115">
        <v>0.8</v>
      </c>
      <c r="O12" s="115">
        <v>12.2</v>
      </c>
      <c r="P12" s="117" t="s">
        <v>97</v>
      </c>
      <c r="Q12" s="122"/>
      <c r="R12" s="117" t="s">
        <v>97</v>
      </c>
      <c r="S12" s="117" t="s">
        <v>97</v>
      </c>
      <c r="T12" s="123"/>
      <c r="U12" s="115">
        <v>1</v>
      </c>
      <c r="V12" s="117">
        <v>1.6</v>
      </c>
      <c r="W12" s="115">
        <v>0</v>
      </c>
      <c r="X12" s="117" t="s">
        <v>98</v>
      </c>
      <c r="Y12" s="115">
        <v>8</v>
      </c>
      <c r="Z12" s="115">
        <v>2.4500000000000002</v>
      </c>
      <c r="AA12" s="117">
        <v>9</v>
      </c>
      <c r="AB12" s="25" t="s">
        <v>97</v>
      </c>
      <c r="AC12" s="25" t="s">
        <v>97</v>
      </c>
      <c r="AD12" s="117" t="s">
        <v>99</v>
      </c>
      <c r="AE12" s="117" t="s">
        <v>104</v>
      </c>
      <c r="AF12" s="22">
        <f t="shared" ref="AF12:AF72" si="8">IF(ISBLANK(Z12), 0, IF(ISBLANK(N12) &lt; 0, 0,Z12 / N12))</f>
        <v>3.0625</v>
      </c>
      <c r="AG12" s="15">
        <f t="shared" si="1"/>
        <v>0</v>
      </c>
      <c r="AH12" s="7">
        <f t="shared" si="2"/>
        <v>10</v>
      </c>
      <c r="AI12" s="7">
        <f t="shared" si="3"/>
        <v>10</v>
      </c>
      <c r="AJ12" s="7">
        <f t="shared" si="4"/>
        <v>10</v>
      </c>
      <c r="AK12" s="12">
        <f t="shared" si="5"/>
        <v>6</v>
      </c>
      <c r="AL12" s="14">
        <f t="shared" ref="AL12:AL70" si="9">AG12 + AH12 + AI12 + AJ12 + AK12</f>
        <v>36</v>
      </c>
      <c r="AM12" s="16" t="str">
        <f t="shared" si="7"/>
        <v>Barrier</v>
      </c>
      <c r="AN12" s="117"/>
      <c r="AO12" s="115"/>
      <c r="AP12" s="25" t="s">
        <v>123</v>
      </c>
    </row>
    <row r="13" spans="1:42" ht="30" x14ac:dyDescent="0.25">
      <c r="A13" s="82">
        <v>44096</v>
      </c>
      <c r="B13" s="76">
        <v>50155</v>
      </c>
      <c r="C13" s="25"/>
      <c r="D13" s="25" t="s">
        <v>92</v>
      </c>
      <c r="E13" s="77">
        <v>11</v>
      </c>
      <c r="F13" s="78">
        <v>635113</v>
      </c>
      <c r="G13" s="79">
        <v>5484261</v>
      </c>
      <c r="H13" s="77" t="s">
        <v>121</v>
      </c>
      <c r="I13" s="77" t="s">
        <v>122</v>
      </c>
      <c r="J13" s="80"/>
      <c r="K13" s="77"/>
      <c r="L13" s="25" t="s">
        <v>95</v>
      </c>
      <c r="M13" s="25" t="s">
        <v>96</v>
      </c>
      <c r="N13" s="115">
        <v>0.9</v>
      </c>
      <c r="O13" s="115">
        <v>11.2</v>
      </c>
      <c r="P13" s="117" t="s">
        <v>97</v>
      </c>
      <c r="Q13" s="122"/>
      <c r="R13" s="117" t="s">
        <v>97</v>
      </c>
      <c r="S13" s="117" t="s">
        <v>97</v>
      </c>
      <c r="T13" s="122"/>
      <c r="U13" s="115">
        <v>0.3</v>
      </c>
      <c r="V13" s="117">
        <v>0.22</v>
      </c>
      <c r="W13" s="115">
        <v>0.45</v>
      </c>
      <c r="X13" s="117" t="s">
        <v>98</v>
      </c>
      <c r="Y13" s="115">
        <v>2.63</v>
      </c>
      <c r="Z13" s="115">
        <v>2.25</v>
      </c>
      <c r="AA13" s="117">
        <v>4.3</v>
      </c>
      <c r="AB13" s="25" t="s">
        <v>97</v>
      </c>
      <c r="AC13" s="25" t="s">
        <v>98</v>
      </c>
      <c r="AD13" s="117" t="s">
        <v>99</v>
      </c>
      <c r="AE13" s="117" t="s">
        <v>104</v>
      </c>
      <c r="AF13" s="22">
        <f t="shared" si="8"/>
        <v>2.5</v>
      </c>
      <c r="AG13" s="15">
        <f t="shared" si="1"/>
        <v>0</v>
      </c>
      <c r="AH13" s="7">
        <f t="shared" si="2"/>
        <v>10</v>
      </c>
      <c r="AI13" s="7">
        <f t="shared" si="3"/>
        <v>5</v>
      </c>
      <c r="AJ13" s="7">
        <f t="shared" si="4"/>
        <v>5</v>
      </c>
      <c r="AK13" s="12">
        <f t="shared" si="5"/>
        <v>6</v>
      </c>
      <c r="AL13" s="14">
        <f t="shared" si="9"/>
        <v>26</v>
      </c>
      <c r="AM13" s="16" t="str">
        <f t="shared" si="7"/>
        <v>Barrier</v>
      </c>
      <c r="AN13" s="117"/>
      <c r="AO13" s="115"/>
      <c r="AP13" s="25" t="s">
        <v>124</v>
      </c>
    </row>
    <row r="14" spans="1:42" ht="30" x14ac:dyDescent="0.25">
      <c r="A14" s="82">
        <v>44097</v>
      </c>
      <c r="B14" s="76">
        <v>62516</v>
      </c>
      <c r="C14" s="25"/>
      <c r="D14" s="25" t="s">
        <v>92</v>
      </c>
      <c r="E14" s="77">
        <v>11</v>
      </c>
      <c r="F14" s="78">
        <v>636123</v>
      </c>
      <c r="G14" s="79">
        <v>5484087</v>
      </c>
      <c r="H14" s="77" t="s">
        <v>121</v>
      </c>
      <c r="I14" s="77" t="s">
        <v>122</v>
      </c>
      <c r="J14" s="80"/>
      <c r="K14" s="77"/>
      <c r="L14" s="25" t="s">
        <v>95</v>
      </c>
      <c r="M14" s="25" t="s">
        <v>96</v>
      </c>
      <c r="N14" s="115">
        <v>1.2</v>
      </c>
      <c r="O14" s="115">
        <v>11.3</v>
      </c>
      <c r="P14" s="117" t="s">
        <v>97</v>
      </c>
      <c r="Q14" s="122"/>
      <c r="R14" s="117" t="s">
        <v>97</v>
      </c>
      <c r="S14" s="117" t="s">
        <v>97</v>
      </c>
      <c r="T14" s="122"/>
      <c r="U14" s="115">
        <v>1.3</v>
      </c>
      <c r="V14" s="117">
        <v>0.49</v>
      </c>
      <c r="W14" s="115">
        <v>0.8</v>
      </c>
      <c r="X14" s="117" t="s">
        <v>97</v>
      </c>
      <c r="Y14" s="115">
        <v>5</v>
      </c>
      <c r="Z14" s="115">
        <v>2.4700000000000002</v>
      </c>
      <c r="AA14" s="117">
        <v>2.67</v>
      </c>
      <c r="AB14" s="25" t="s">
        <v>97</v>
      </c>
      <c r="AC14" s="25" t="s">
        <v>98</v>
      </c>
      <c r="AD14" s="117" t="s">
        <v>99</v>
      </c>
      <c r="AE14" s="117" t="s">
        <v>104</v>
      </c>
      <c r="AF14" s="22">
        <f t="shared" si="8"/>
        <v>2.0583333333333336</v>
      </c>
      <c r="AG14" s="15">
        <f t="shared" si="1"/>
        <v>0</v>
      </c>
      <c r="AH14" s="7">
        <f t="shared" si="2"/>
        <v>10</v>
      </c>
      <c r="AI14" s="7">
        <f t="shared" si="3"/>
        <v>10</v>
      </c>
      <c r="AJ14" s="7">
        <f t="shared" si="4"/>
        <v>10</v>
      </c>
      <c r="AK14" s="12">
        <f t="shared" si="5"/>
        <v>6</v>
      </c>
      <c r="AL14" s="14">
        <f t="shared" si="9"/>
        <v>36</v>
      </c>
      <c r="AM14" s="16" t="str">
        <f t="shared" si="7"/>
        <v>Barrier</v>
      </c>
      <c r="AN14" s="117"/>
      <c r="AO14" s="115"/>
      <c r="AP14" s="25" t="s">
        <v>125</v>
      </c>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7"/>
      <c r="AO40" s="11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qXRvdzzg1FDaQcdMPN+CTtYkH5a302x+mrCdthJ6sInkF0wdjXOKRG/cuWK0lrBRelTxSvuXiHo9SUuhs4iRAg==" saltValue="neOmGqF3F97/UoOzvRRBk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Q12"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4 Q9:Q10"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2A2514A5-BC23-4ECA-A9B3-3F816BC6C12E}">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4963CA92-CCAF-4223-82CD-3F4CD5E724F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71F56D09-4A86-4443-9FBC-A50C054978C2}">
      <formula1>0.01</formula1>
      <formula2>1.49</formula2>
    </dataValidation>
    <dataValidation type="decimal" allowBlank="1" showInputMessage="1" showErrorMessage="1" errorTitle="Invalid value entered" error="The Average Depth Embededdment you entered is invalid. The Average Depth Embededdment must be &lt;= 2.49 and &gt;= 0.01" sqref="Q6" xr:uid="{02A116BC-4C82-4215-9C6B-4F033227E52C}">
      <formula1>0.01</formula1>
      <formula2>2.49</formula2>
    </dataValidation>
    <dataValidation type="decimal" allowBlank="1" showInputMessage="1" showErrorMessage="1" errorTitle="Invalid value entered" error="The Average Depth Embededdment you entered is invalid. The Average Depth Embededdment must be &lt;= 3.29 and &gt;= 0.01" sqref="Q7" xr:uid="{8DA441E8-9CB5-41FD-9C30-CDE938167296}">
      <formula1>0.01</formula1>
      <formula2>3.29</formula2>
    </dataValidation>
    <dataValidation type="decimal" allowBlank="1" showInputMessage="1" showErrorMessage="1" errorTitle="Invalid value entered" error="The Average Depth Embededdment you entered is invalid. The Average Depth Embededdment must be &lt;= 0.89 and &gt;= 0.01" sqref="Q8 Q13" xr:uid="{CA48741A-B530-4A74-A0A6-A6AF1F7B34BC}">
      <formula1>0.01</formula1>
      <formula2>0.89</formula2>
    </dataValidation>
    <dataValidation type="decimal" allowBlank="1" showInputMessage="1" showErrorMessage="1" errorTitle="Invalid value entered" error="The Average Depth Embededdment you entered is invalid. The Average Depth Embededdment must be &lt;= 2.19 and &gt;= 0.01" sqref="Q11" xr:uid="{407BC836-6BEF-44A8-B5AF-88ECDA8A289A}">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2020-11-19T18:54:48Z</dcterms:modified>
</cp:coreProperties>
</file>